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Users\Dropbox\Public\moi\lcn\2026\Vhuman\"/>
    </mc:Choice>
  </mc:AlternateContent>
  <xr:revisionPtr revIDLastSave="0" documentId="13_ncr:1_{459AC2A3-728F-4440-B9DF-B69E2A32D09E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odos" sheetId="5" r:id="rId1"/>
    <sheet name="Paralelo" sheetId="1" r:id="rId2"/>
    <sheet name="Gantt actividades" sheetId="2" r:id="rId3"/>
    <sheet name="Gantt recursos" sheetId="3" r:id="rId4"/>
    <sheet name="Resumen" sheetId="4" r:id="rId5"/>
  </sheets>
  <calcPr calcId="191029" forceFullCalc="1"/>
</workbook>
</file>

<file path=xl/calcChain.xml><?xml version="1.0" encoding="utf-8"?>
<calcChain xmlns="http://schemas.openxmlformats.org/spreadsheetml/2006/main">
  <c r="B6" i="4" l="1"/>
  <c r="D13" i="3"/>
  <c r="D12" i="3"/>
  <c r="D11" i="3"/>
  <c r="D10" i="3"/>
  <c r="D9" i="3"/>
  <c r="D8" i="3"/>
  <c r="D7" i="3"/>
  <c r="D6" i="3"/>
  <c r="D5" i="3"/>
  <c r="D4" i="3"/>
  <c r="D14" i="2"/>
  <c r="D4" i="2"/>
  <c r="D33" i="1"/>
  <c r="D32" i="1"/>
  <c r="D31" i="1"/>
  <c r="D30" i="1"/>
  <c r="D29" i="1"/>
  <c r="D28" i="1"/>
  <c r="D27" i="1"/>
  <c r="D26" i="1"/>
  <c r="D25" i="1"/>
  <c r="D24" i="1"/>
  <c r="D14" i="1"/>
  <c r="D4" i="1"/>
  <c r="F4" i="1" l="1"/>
  <c r="AO4" i="1" s="1"/>
  <c r="F4" i="2"/>
  <c r="Z4" i="2" s="1"/>
  <c r="V4" i="1" l="1"/>
  <c r="AR4" i="1"/>
  <c r="R4" i="1"/>
  <c r="AZ4" i="1"/>
  <c r="BC4" i="1"/>
  <c r="AL4" i="1"/>
  <c r="AU4" i="1"/>
  <c r="P4" i="1"/>
  <c r="H4" i="1"/>
  <c r="N4" i="1"/>
  <c r="AT4" i="1"/>
  <c r="AB4" i="1"/>
  <c r="BE4" i="2"/>
  <c r="AG4" i="2"/>
  <c r="BE4" i="1"/>
  <c r="AV4" i="2"/>
  <c r="AK4" i="1"/>
  <c r="AY4" i="1"/>
  <c r="AW4" i="1"/>
  <c r="AM4" i="1"/>
  <c r="BB4" i="1"/>
  <c r="AQ4" i="1"/>
  <c r="AQ4" i="2"/>
  <c r="AM4" i="2"/>
  <c r="T4" i="1"/>
  <c r="AA4" i="1"/>
  <c r="S4" i="1"/>
  <c r="K4" i="1"/>
  <c r="L4" i="1"/>
  <c r="AI4" i="1"/>
  <c r="D5" i="1"/>
  <c r="J4" i="1"/>
  <c r="I4" i="1"/>
  <c r="AE4" i="1"/>
  <c r="AD4" i="1"/>
  <c r="AX4" i="1"/>
  <c r="AG4" i="1"/>
  <c r="W4" i="2"/>
  <c r="AL4" i="2"/>
  <c r="Y4" i="2"/>
  <c r="AS4" i="2"/>
  <c r="U4" i="2"/>
  <c r="AR4" i="2"/>
  <c r="AD4" i="2"/>
  <c r="AH4" i="2"/>
  <c r="W4" i="1"/>
  <c r="AC4" i="1"/>
  <c r="AP4" i="1"/>
  <c r="Y4" i="1"/>
  <c r="AT4" i="2"/>
  <c r="G4" i="2"/>
  <c r="AI4" i="2"/>
  <c r="AC4" i="2"/>
  <c r="AU4" i="2"/>
  <c r="BA4" i="2"/>
  <c r="AV4" i="1"/>
  <c r="AZ4" i="2"/>
  <c r="M4" i="2"/>
  <c r="AN4" i="1"/>
  <c r="AN4" i="2"/>
  <c r="AO4" i="2"/>
  <c r="AJ4" i="2"/>
  <c r="AF4" i="1"/>
  <c r="AS4" i="1"/>
  <c r="O4" i="1"/>
  <c r="AJ4" i="1"/>
  <c r="AH4" i="1"/>
  <c r="Q4" i="1"/>
  <c r="D5" i="2"/>
  <c r="L4" i="2"/>
  <c r="AA4" i="2"/>
  <c r="S4" i="2"/>
  <c r="K4" i="2"/>
  <c r="R4" i="2"/>
  <c r="J4" i="2"/>
  <c r="Q4" i="2"/>
  <c r="I4" i="2"/>
  <c r="AP4" i="2"/>
  <c r="AF4" i="2"/>
  <c r="X4" i="2"/>
  <c r="P4" i="2"/>
  <c r="H4" i="2"/>
  <c r="BB4" i="2"/>
  <c r="T4" i="2"/>
  <c r="O4" i="2"/>
  <c r="AX4" i="2"/>
  <c r="AK4" i="2"/>
  <c r="AY4" i="2"/>
  <c r="BD4" i="2"/>
  <c r="BA4" i="1"/>
  <c r="V4" i="2"/>
  <c r="AE4" i="2"/>
  <c r="N4" i="2"/>
  <c r="AW4" i="2"/>
  <c r="AB4" i="2"/>
  <c r="BC4" i="2"/>
  <c r="X4" i="1"/>
  <c r="M4" i="1"/>
  <c r="G4" i="1"/>
  <c r="U4" i="1"/>
  <c r="Z4" i="1"/>
  <c r="BD4" i="1"/>
  <c r="F5" i="1" l="1"/>
  <c r="D6" i="1" s="1"/>
  <c r="C13" i="3"/>
  <c r="C33" i="1"/>
  <c r="F5" i="2"/>
  <c r="D6" i="2" s="1"/>
  <c r="AP5" i="2" l="1"/>
  <c r="AC5" i="2"/>
  <c r="L5" i="2"/>
  <c r="AN5" i="2"/>
  <c r="S5" i="2"/>
  <c r="W5" i="2"/>
  <c r="O5" i="1"/>
  <c r="AG5" i="2"/>
  <c r="AI5" i="2"/>
  <c r="T5" i="2"/>
  <c r="AK5" i="2"/>
  <c r="AV5" i="2"/>
  <c r="AZ5" i="1"/>
  <c r="N5" i="1"/>
  <c r="W5" i="1"/>
  <c r="AV5" i="1"/>
  <c r="AW5" i="1"/>
  <c r="AX5" i="1"/>
  <c r="AN5" i="1"/>
  <c r="BC5" i="2"/>
  <c r="AW5" i="2"/>
  <c r="AB5" i="2"/>
  <c r="AS5" i="2"/>
  <c r="BD5" i="2"/>
  <c r="M5" i="1"/>
  <c r="V5" i="1"/>
  <c r="AE5" i="1"/>
  <c r="BD5" i="1"/>
  <c r="BE5" i="1"/>
  <c r="K5" i="1"/>
  <c r="AP5" i="1"/>
  <c r="E13" i="3"/>
  <c r="BD13" i="3" s="1"/>
  <c r="U5" i="1"/>
  <c r="AD5" i="1"/>
  <c r="AM5" i="1"/>
  <c r="P5" i="1"/>
  <c r="X5" i="1"/>
  <c r="S5" i="1"/>
  <c r="AR5" i="1"/>
  <c r="AO5" i="2"/>
  <c r="AE5" i="2"/>
  <c r="V5" i="2"/>
  <c r="K5" i="2"/>
  <c r="AR5" i="2"/>
  <c r="H5" i="2"/>
  <c r="L5" i="1"/>
  <c r="AC5" i="1"/>
  <c r="AL5" i="1"/>
  <c r="AU5" i="1"/>
  <c r="I5" i="1"/>
  <c r="J5" i="1"/>
  <c r="AA5" i="1"/>
  <c r="C10" i="3"/>
  <c r="F6" i="2"/>
  <c r="D7" i="2" s="1"/>
  <c r="C4" i="3" s="1"/>
  <c r="C30" i="1"/>
  <c r="R5" i="2"/>
  <c r="AJ5" i="2"/>
  <c r="BB5" i="2"/>
  <c r="AZ5" i="2"/>
  <c r="P5" i="2"/>
  <c r="AK5" i="1"/>
  <c r="AT5" i="1"/>
  <c r="BC5" i="1"/>
  <c r="Q5" i="1"/>
  <c r="R5" i="1"/>
  <c r="AI5" i="1"/>
  <c r="AO5" i="1"/>
  <c r="O5" i="2"/>
  <c r="AT5" i="2"/>
  <c r="AA5" i="2"/>
  <c r="I5" i="2"/>
  <c r="BA5" i="2"/>
  <c r="AH5" i="2"/>
  <c r="T5" i="1"/>
  <c r="Z5" i="2"/>
  <c r="Q5" i="2"/>
  <c r="BE5" i="2"/>
  <c r="AU5" i="2"/>
  <c r="AL5" i="2"/>
  <c r="M5" i="2"/>
  <c r="X5" i="2"/>
  <c r="AB5" i="1"/>
  <c r="AS5" i="1"/>
  <c r="BB5" i="1"/>
  <c r="H5" i="1"/>
  <c r="Y5" i="1"/>
  <c r="Z5" i="1"/>
  <c r="AQ5" i="1"/>
  <c r="F6" i="1"/>
  <c r="D7" i="1" s="1"/>
  <c r="AY5" i="2"/>
  <c r="E33" i="1"/>
  <c r="AB33" i="1" s="1"/>
  <c r="N5" i="2"/>
  <c r="AQ5" i="2"/>
  <c r="Y5" i="2"/>
  <c r="AM5" i="2"/>
  <c r="AD5" i="2"/>
  <c r="G5" i="2"/>
  <c r="J5" i="2"/>
  <c r="AX5" i="2"/>
  <c r="U5" i="2"/>
  <c r="AF5" i="2"/>
  <c r="AJ5" i="1"/>
  <c r="BA5" i="1"/>
  <c r="G5" i="1"/>
  <c r="AF5" i="1"/>
  <c r="AG5" i="1"/>
  <c r="AH5" i="1"/>
  <c r="AY5" i="1"/>
  <c r="O6" i="1" l="1"/>
  <c r="AU6" i="1"/>
  <c r="AH6" i="1"/>
  <c r="BE6" i="1"/>
  <c r="AB6" i="1"/>
  <c r="BE6" i="2"/>
  <c r="L6" i="2"/>
  <c r="AK6" i="2"/>
  <c r="AF6" i="1"/>
  <c r="Y6" i="2"/>
  <c r="AB6" i="2"/>
  <c r="BA6" i="1"/>
  <c r="AI6" i="1"/>
  <c r="AO6" i="2"/>
  <c r="BB6" i="2"/>
  <c r="N6" i="2"/>
  <c r="AS6" i="1"/>
  <c r="AX6" i="2"/>
  <c r="AR6" i="2"/>
  <c r="K6" i="2"/>
  <c r="I6" i="2"/>
  <c r="AW6" i="2"/>
  <c r="AG6" i="1"/>
  <c r="BA6" i="2"/>
  <c r="O6" i="2"/>
  <c r="H6" i="2"/>
  <c r="AX13" i="3"/>
  <c r="Q6" i="2"/>
  <c r="AS6" i="2"/>
  <c r="BD6" i="2"/>
  <c r="AS13" i="3"/>
  <c r="Z6" i="2"/>
  <c r="R6" i="2"/>
  <c r="U6" i="2"/>
  <c r="AA6" i="2"/>
  <c r="BC13" i="3"/>
  <c r="AZ6" i="2"/>
  <c r="AD6" i="2"/>
  <c r="AJ6" i="2"/>
  <c r="AU33" i="1"/>
  <c r="AK33" i="1"/>
  <c r="H33" i="1"/>
  <c r="AH33" i="1"/>
  <c r="H6" i="1"/>
  <c r="AW6" i="1"/>
  <c r="M6" i="2"/>
  <c r="AC6" i="2"/>
  <c r="AG6" i="2"/>
  <c r="P33" i="1"/>
  <c r="S33" i="1"/>
  <c r="J13" i="3"/>
  <c r="AD33" i="1"/>
  <c r="BD33" i="1"/>
  <c r="AI33" i="1"/>
  <c r="AL33" i="1"/>
  <c r="I33" i="1"/>
  <c r="AY33" i="1"/>
  <c r="T13" i="3"/>
  <c r="BB33" i="1"/>
  <c r="Q33" i="1"/>
  <c r="AJ33" i="1"/>
  <c r="M33" i="1"/>
  <c r="G33" i="1"/>
  <c r="Y33" i="1"/>
  <c r="U33" i="1"/>
  <c r="AM33" i="1"/>
  <c r="J33" i="1"/>
  <c r="AC33" i="1"/>
  <c r="R33" i="1"/>
  <c r="BC6" i="2"/>
  <c r="BA33" i="1"/>
  <c r="AT33" i="1"/>
  <c r="AV33" i="1"/>
  <c r="Z33" i="1"/>
  <c r="AR33" i="1"/>
  <c r="P6" i="1"/>
  <c r="BC6" i="1"/>
  <c r="L6" i="1"/>
  <c r="AN6" i="1"/>
  <c r="G6" i="2"/>
  <c r="S6" i="2"/>
  <c r="K13" i="3"/>
  <c r="AT13" i="3"/>
  <c r="AZ33" i="1"/>
  <c r="X6" i="1"/>
  <c r="Z6" i="1"/>
  <c r="T6" i="1"/>
  <c r="AX6" i="1"/>
  <c r="AA13" i="3"/>
  <c r="BB13" i="3"/>
  <c r="AA33" i="1"/>
  <c r="G6" i="1"/>
  <c r="I6" i="1"/>
  <c r="AT6" i="1"/>
  <c r="U6" i="1"/>
  <c r="AQ6" i="1"/>
  <c r="AB13" i="3"/>
  <c r="H13" i="3"/>
  <c r="Q6" i="1"/>
  <c r="BD6" i="1"/>
  <c r="AC6" i="1"/>
  <c r="AR13" i="3"/>
  <c r="I13" i="3"/>
  <c r="BC33" i="1"/>
  <c r="BE33" i="1"/>
  <c r="AQ33" i="1"/>
  <c r="AO6" i="1"/>
  <c r="Y6" i="1"/>
  <c r="K6" i="1"/>
  <c r="AM6" i="1"/>
  <c r="AH6" i="2"/>
  <c r="P6" i="2"/>
  <c r="AK13" i="3"/>
  <c r="Q13" i="3"/>
  <c r="S13" i="3"/>
  <c r="AJ13" i="3"/>
  <c r="BA13" i="3"/>
  <c r="G13" i="3"/>
  <c r="P13" i="3"/>
  <c r="Y13" i="3"/>
  <c r="O13" i="3"/>
  <c r="X13" i="3"/>
  <c r="AG13" i="3"/>
  <c r="F7" i="1"/>
  <c r="D8" i="1" s="1"/>
  <c r="AY6" i="1"/>
  <c r="W6" i="2"/>
  <c r="X6" i="2"/>
  <c r="AI6" i="2"/>
  <c r="R13" i="3"/>
  <c r="AI13" i="3"/>
  <c r="AZ13" i="3"/>
  <c r="N13" i="3"/>
  <c r="W13" i="3"/>
  <c r="AF13" i="3"/>
  <c r="AO13" i="3"/>
  <c r="X33" i="1"/>
  <c r="AP33" i="1"/>
  <c r="S6" i="1"/>
  <c r="AL6" i="1"/>
  <c r="N6" i="1"/>
  <c r="AJ6" i="1"/>
  <c r="E30" i="1"/>
  <c r="AL30" i="1" s="1"/>
  <c r="AT6" i="2"/>
  <c r="AE6" i="2"/>
  <c r="AF6" i="2"/>
  <c r="AQ6" i="2"/>
  <c r="Z13" i="3"/>
  <c r="AQ13" i="3"/>
  <c r="M13" i="3"/>
  <c r="V13" i="3"/>
  <c r="AE13" i="3"/>
  <c r="AN13" i="3"/>
  <c r="AW13" i="3"/>
  <c r="E10" i="3"/>
  <c r="Z10" i="3" s="1"/>
  <c r="W33" i="1"/>
  <c r="AF33" i="1"/>
  <c r="AO33" i="1"/>
  <c r="AX33" i="1"/>
  <c r="T33" i="1"/>
  <c r="W6" i="1"/>
  <c r="AP6" i="1"/>
  <c r="J6" i="1"/>
  <c r="AA6" i="1"/>
  <c r="AV6" i="1"/>
  <c r="V6" i="1"/>
  <c r="AR6" i="1"/>
  <c r="C11" i="3"/>
  <c r="F7" i="2"/>
  <c r="D8" i="2" s="1"/>
  <c r="C31" i="1"/>
  <c r="C24" i="1"/>
  <c r="J6" i="2"/>
  <c r="AM6" i="2"/>
  <c r="AN6" i="2"/>
  <c r="AY6" i="2"/>
  <c r="AH13" i="3"/>
  <c r="AY13" i="3"/>
  <c r="U13" i="3"/>
  <c r="AD13" i="3"/>
  <c r="AM13" i="3"/>
  <c r="AV13" i="3"/>
  <c r="BE13" i="3"/>
  <c r="O33" i="1"/>
  <c r="AG33" i="1"/>
  <c r="L33" i="1"/>
  <c r="N33" i="1"/>
  <c r="AS33" i="1"/>
  <c r="V33" i="1"/>
  <c r="AE33" i="1"/>
  <c r="AN33" i="1"/>
  <c r="AW33" i="1"/>
  <c r="K33" i="1"/>
  <c r="AE6" i="1"/>
  <c r="BB6" i="1"/>
  <c r="R6" i="1"/>
  <c r="AK6" i="1"/>
  <c r="M6" i="1"/>
  <c r="AD6" i="1"/>
  <c r="AZ6" i="1"/>
  <c r="AL6" i="2"/>
  <c r="AP6" i="2"/>
  <c r="T6" i="2"/>
  <c r="V6" i="2"/>
  <c r="AU6" i="2"/>
  <c r="AV6" i="2"/>
  <c r="AP13" i="3"/>
  <c r="L13" i="3"/>
  <c r="AC13" i="3"/>
  <c r="AL13" i="3"/>
  <c r="AU13" i="3"/>
  <c r="E4" i="3"/>
  <c r="N4" i="3" s="1"/>
  <c r="W10" i="3" l="1"/>
  <c r="M10" i="3"/>
  <c r="BC10" i="3"/>
  <c r="BA10" i="3"/>
  <c r="AZ10" i="3"/>
  <c r="AS10" i="3"/>
  <c r="Q4" i="3"/>
  <c r="AJ10" i="3"/>
  <c r="I10" i="3"/>
  <c r="R10" i="3"/>
  <c r="Q10" i="3"/>
  <c r="Y10" i="3"/>
  <c r="AP10" i="3"/>
  <c r="AW10" i="3"/>
  <c r="AO10" i="3"/>
  <c r="AI10" i="3"/>
  <c r="AE10" i="3"/>
  <c r="AY10" i="3"/>
  <c r="L10" i="3"/>
  <c r="AL10" i="3"/>
  <c r="O30" i="1"/>
  <c r="AR10" i="3"/>
  <c r="AT10" i="3"/>
  <c r="O10" i="3"/>
  <c r="AV10" i="3"/>
  <c r="H30" i="1"/>
  <c r="AT30" i="1"/>
  <c r="AZ7" i="2"/>
  <c r="X30" i="1"/>
  <c r="AO30" i="1"/>
  <c r="AP7" i="1"/>
  <c r="BE7" i="2"/>
  <c r="AW30" i="1"/>
  <c r="AV7" i="1"/>
  <c r="BE30" i="1"/>
  <c r="AI30" i="1"/>
  <c r="I4" i="3"/>
  <c r="AB10" i="3"/>
  <c r="V10" i="3"/>
  <c r="AY30" i="1"/>
  <c r="BB7" i="2"/>
  <c r="L7" i="2"/>
  <c r="AO7" i="2"/>
  <c r="AP7" i="2"/>
  <c r="AA10" i="3"/>
  <c r="AK10" i="3"/>
  <c r="X10" i="3"/>
  <c r="AM30" i="1"/>
  <c r="AN30" i="1"/>
  <c r="R30" i="1"/>
  <c r="U30" i="1"/>
  <c r="AI7" i="1"/>
  <c r="AK7" i="2"/>
  <c r="BC7" i="2"/>
  <c r="S7" i="2"/>
  <c r="AU30" i="1"/>
  <c r="AV30" i="1"/>
  <c r="AX30" i="1"/>
  <c r="AK30" i="1"/>
  <c r="AB7" i="2"/>
  <c r="AW7" i="2"/>
  <c r="Q7" i="2"/>
  <c r="AQ7" i="2"/>
  <c r="BC30" i="1"/>
  <c r="BD30" i="1"/>
  <c r="S30" i="1"/>
  <c r="AS30" i="1"/>
  <c r="H7" i="2"/>
  <c r="AF4" i="3"/>
  <c r="Y7" i="2"/>
  <c r="G7" i="2"/>
  <c r="AY7" i="2"/>
  <c r="AH10" i="3"/>
  <c r="G30" i="1"/>
  <c r="Q30" i="1"/>
  <c r="AA30" i="1"/>
  <c r="BA30" i="1"/>
  <c r="T30" i="1"/>
  <c r="U7" i="2"/>
  <c r="W7" i="2"/>
  <c r="P7" i="2"/>
  <c r="AU7" i="2"/>
  <c r="T10" i="3"/>
  <c r="BE10" i="3"/>
  <c r="AC10" i="3"/>
  <c r="H10" i="3"/>
  <c r="AF30" i="1"/>
  <c r="J30" i="1"/>
  <c r="AJ30" i="1"/>
  <c r="AW7" i="1"/>
  <c r="AR7" i="1"/>
  <c r="AL4" i="3"/>
  <c r="W4" i="3"/>
  <c r="O4" i="3"/>
  <c r="R4" i="3"/>
  <c r="AT4" i="3"/>
  <c r="AX10" i="3"/>
  <c r="AX7" i="1"/>
  <c r="AI4" i="3"/>
  <c r="J4" i="3"/>
  <c r="M4" i="3"/>
  <c r="AW4" i="3"/>
  <c r="AP4" i="3"/>
  <c r="AE7" i="2"/>
  <c r="Z7" i="2"/>
  <c r="N7" i="2"/>
  <c r="AF10" i="3"/>
  <c r="AN7" i="1"/>
  <c r="BD4" i="3"/>
  <c r="BA4" i="3"/>
  <c r="X4" i="3"/>
  <c r="S4" i="3"/>
  <c r="P4" i="3"/>
  <c r="T4" i="3"/>
  <c r="AV7" i="2"/>
  <c r="O7" i="2"/>
  <c r="AR7" i="2"/>
  <c r="AH7" i="2"/>
  <c r="AD7" i="2"/>
  <c r="AG10" i="3"/>
  <c r="G10" i="3"/>
  <c r="K10" i="3"/>
  <c r="AU10" i="3"/>
  <c r="N10" i="3"/>
  <c r="AN10" i="3"/>
  <c r="W30" i="1"/>
  <c r="I30" i="1"/>
  <c r="AH30" i="1"/>
  <c r="AB30" i="1"/>
  <c r="AD30" i="1"/>
  <c r="AZ7" i="1"/>
  <c r="AD4" i="3"/>
  <c r="AS4" i="3"/>
  <c r="BE4" i="3"/>
  <c r="G4" i="3"/>
  <c r="H4" i="3"/>
  <c r="AC4" i="3"/>
  <c r="AB4" i="3"/>
  <c r="Y4" i="3"/>
  <c r="AU4" i="3"/>
  <c r="AO4" i="3"/>
  <c r="AJ4" i="3"/>
  <c r="X7" i="2"/>
  <c r="AN7" i="2"/>
  <c r="AS7" i="2"/>
  <c r="AX7" i="2"/>
  <c r="S10" i="3"/>
  <c r="AM10" i="3"/>
  <c r="AQ10" i="3"/>
  <c r="U10" i="3"/>
  <c r="AD10" i="3"/>
  <c r="BD10" i="3"/>
  <c r="AE30" i="1"/>
  <c r="P30" i="1"/>
  <c r="Y30" i="1"/>
  <c r="K30" i="1"/>
  <c r="AR30" i="1"/>
  <c r="BB30" i="1"/>
  <c r="H7" i="1"/>
  <c r="K4" i="3"/>
  <c r="AG4" i="3"/>
  <c r="AN4" i="3"/>
  <c r="AQ4" i="3"/>
  <c r="L4" i="3"/>
  <c r="V4" i="3"/>
  <c r="AF7" i="2"/>
  <c r="R7" i="2"/>
  <c r="AI7" i="2"/>
  <c r="AT7" i="2"/>
  <c r="X7" i="1"/>
  <c r="Z7" i="1"/>
  <c r="AB7" i="1"/>
  <c r="AG7" i="1"/>
  <c r="BA7" i="1"/>
  <c r="G7" i="1"/>
  <c r="E31" i="1"/>
  <c r="BD31" i="1" s="1"/>
  <c r="F8" i="1"/>
  <c r="D9" i="1" s="1"/>
  <c r="O7" i="1"/>
  <c r="E11" i="3"/>
  <c r="AR11" i="3" s="1"/>
  <c r="N7" i="1"/>
  <c r="W7" i="1"/>
  <c r="C8" i="3"/>
  <c r="C5" i="3"/>
  <c r="F8" i="2"/>
  <c r="D9" i="2" s="1"/>
  <c r="C25" i="1"/>
  <c r="C28" i="1"/>
  <c r="J7" i="1"/>
  <c r="L7" i="1"/>
  <c r="P7" i="1"/>
  <c r="R7" i="1"/>
  <c r="BD7" i="1"/>
  <c r="V7" i="1"/>
  <c r="AE7" i="1"/>
  <c r="Z4" i="3"/>
  <c r="AR4" i="3"/>
  <c r="BB4" i="3"/>
  <c r="AZ30" i="1"/>
  <c r="N30" i="1"/>
  <c r="T7" i="1"/>
  <c r="Y7" i="1"/>
  <c r="AA7" i="1"/>
  <c r="AF7" i="1"/>
  <c r="U7" i="1"/>
  <c r="AD7" i="1"/>
  <c r="AM7" i="1"/>
  <c r="E24" i="1"/>
  <c r="G24" i="1" s="1"/>
  <c r="AK4" i="3"/>
  <c r="AY4" i="3"/>
  <c r="AV4" i="3"/>
  <c r="BC4" i="3"/>
  <c r="AH4" i="3"/>
  <c r="AZ4" i="3"/>
  <c r="I7" i="2"/>
  <c r="M7" i="2"/>
  <c r="BA7" i="2"/>
  <c r="BD7" i="2"/>
  <c r="AG7" i="2"/>
  <c r="K7" i="2"/>
  <c r="V7" i="2"/>
  <c r="BB10" i="3"/>
  <c r="J10" i="3"/>
  <c r="Z30" i="1"/>
  <c r="AQ30" i="1"/>
  <c r="M30" i="1"/>
  <c r="V30" i="1"/>
  <c r="AH7" i="1"/>
  <c r="AJ7" i="1"/>
  <c r="AO7" i="1"/>
  <c r="AQ7" i="1"/>
  <c r="AC7" i="1"/>
  <c r="AL7" i="1"/>
  <c r="AU7" i="1"/>
  <c r="AY7" i="1"/>
  <c r="BE7" i="1"/>
  <c r="I7" i="1"/>
  <c r="AK7" i="1"/>
  <c r="AT7" i="1"/>
  <c r="BC7" i="1"/>
  <c r="AM4" i="3"/>
  <c r="U4" i="3"/>
  <c r="AA4" i="3"/>
  <c r="AE4" i="3"/>
  <c r="AX4" i="3"/>
  <c r="AJ7" i="2"/>
  <c r="AM7" i="2"/>
  <c r="AC7" i="2"/>
  <c r="T7" i="2"/>
  <c r="J7" i="2"/>
  <c r="AA7" i="2"/>
  <c r="AL7" i="2"/>
  <c r="P10" i="3"/>
  <c r="AG30" i="1"/>
  <c r="AP30" i="1"/>
  <c r="L30" i="1"/>
  <c r="AC30" i="1"/>
  <c r="K7" i="1"/>
  <c r="M7" i="1"/>
  <c r="Q7" i="1"/>
  <c r="S7" i="1"/>
  <c r="AS7" i="1"/>
  <c r="BB7" i="1"/>
  <c r="K31" i="1" l="1"/>
  <c r="S31" i="1"/>
  <c r="AM8" i="2"/>
  <c r="AA31" i="1"/>
  <c r="AG31" i="1"/>
  <c r="T31" i="1"/>
  <c r="I31" i="1"/>
  <c r="AR31" i="1"/>
  <c r="Y31" i="1"/>
  <c r="AK31" i="1"/>
  <c r="R31" i="1"/>
  <c r="AX31" i="1"/>
  <c r="AP8" i="2"/>
  <c r="AF8" i="2"/>
  <c r="BB31" i="1"/>
  <c r="Q31" i="1"/>
  <c r="AI31" i="1"/>
  <c r="H31" i="1"/>
  <c r="AI8" i="2"/>
  <c r="J31" i="1"/>
  <c r="AB31" i="1"/>
  <c r="AJ31" i="1"/>
  <c r="I24" i="1"/>
  <c r="AZ24" i="1"/>
  <c r="N24" i="1"/>
  <c r="BA31" i="1"/>
  <c r="J24" i="1"/>
  <c r="AU8" i="2"/>
  <c r="Q24" i="1"/>
  <c r="AA24" i="1"/>
  <c r="AT31" i="1"/>
  <c r="R24" i="1"/>
  <c r="W24" i="1"/>
  <c r="Q11" i="3"/>
  <c r="Z24" i="1"/>
  <c r="H24" i="1"/>
  <c r="AI24" i="1"/>
  <c r="AM8" i="1"/>
  <c r="BD24" i="1"/>
  <c r="AR24" i="1"/>
  <c r="AS31" i="1"/>
  <c r="O24" i="1"/>
  <c r="W8" i="2"/>
  <c r="Z8" i="2"/>
  <c r="AB8" i="2"/>
  <c r="S8" i="2"/>
  <c r="BA8" i="2"/>
  <c r="I8" i="2"/>
  <c r="E8" i="3"/>
  <c r="AT8" i="3" s="1"/>
  <c r="BE11" i="3"/>
  <c r="AT11" i="3"/>
  <c r="O11" i="3"/>
  <c r="X11" i="3"/>
  <c r="AH11" i="3"/>
  <c r="AZ11" i="3"/>
  <c r="L8" i="1"/>
  <c r="AD8" i="1"/>
  <c r="AI8" i="1"/>
  <c r="M8" i="1"/>
  <c r="H8" i="1"/>
  <c r="Q8" i="1"/>
  <c r="Z8" i="1"/>
  <c r="BC31" i="1"/>
  <c r="C9" i="3"/>
  <c r="C6" i="3"/>
  <c r="C29" i="1"/>
  <c r="F9" i="2"/>
  <c r="D10" i="2" s="1"/>
  <c r="C26" i="1"/>
  <c r="Q8" i="2"/>
  <c r="W11" i="3"/>
  <c r="AF11" i="3"/>
  <c r="AP11" i="3"/>
  <c r="M11" i="3"/>
  <c r="F9" i="1"/>
  <c r="D10" i="1" s="1"/>
  <c r="AQ8" i="1"/>
  <c r="U8" i="1"/>
  <c r="P8" i="1"/>
  <c r="Y8" i="1"/>
  <c r="AH8" i="1"/>
  <c r="AQ24" i="1"/>
  <c r="M24" i="1"/>
  <c r="V24" i="1"/>
  <c r="AE24" i="1"/>
  <c r="E28" i="1"/>
  <c r="J28" i="1" s="1"/>
  <c r="AV8" i="2"/>
  <c r="AY8" i="2"/>
  <c r="BC8" i="2"/>
  <c r="AR8" i="2"/>
  <c r="N8" i="2"/>
  <c r="Y8" i="2"/>
  <c r="AL11" i="3"/>
  <c r="AA11" i="3"/>
  <c r="AE11" i="3"/>
  <c r="AN11" i="3"/>
  <c r="AX11" i="3"/>
  <c r="U11" i="3"/>
  <c r="N8" i="1"/>
  <c r="AE8" i="1"/>
  <c r="AY8" i="1"/>
  <c r="AC8" i="1"/>
  <c r="X8" i="1"/>
  <c r="AG8" i="1"/>
  <c r="AP8" i="1"/>
  <c r="G31" i="1"/>
  <c r="P31" i="1"/>
  <c r="P24" i="1"/>
  <c r="Y24" i="1"/>
  <c r="AH24" i="1"/>
  <c r="AY24" i="1"/>
  <c r="U24" i="1"/>
  <c r="AD24" i="1"/>
  <c r="AM24" i="1"/>
  <c r="E25" i="1"/>
  <c r="Q25" i="1" s="1"/>
  <c r="K8" i="2"/>
  <c r="O8" i="2"/>
  <c r="R8" i="2"/>
  <c r="M8" i="2"/>
  <c r="V8" i="2"/>
  <c r="AG8" i="2"/>
  <c r="K11" i="3"/>
  <c r="S11" i="3"/>
  <c r="AW11" i="3"/>
  <c r="AM11" i="3"/>
  <c r="AV11" i="3"/>
  <c r="L11" i="3"/>
  <c r="AC11" i="3"/>
  <c r="AT8" i="1"/>
  <c r="G8" i="1"/>
  <c r="T8" i="1"/>
  <c r="AK8" i="1"/>
  <c r="AF8" i="1"/>
  <c r="AO8" i="1"/>
  <c r="AX8" i="1"/>
  <c r="O31" i="1"/>
  <c r="X31" i="1"/>
  <c r="X24" i="1"/>
  <c r="AG24" i="1"/>
  <c r="AP24" i="1"/>
  <c r="L24" i="1"/>
  <c r="AC24" i="1"/>
  <c r="AL24" i="1"/>
  <c r="AU24" i="1"/>
  <c r="H8" i="2"/>
  <c r="X8" i="2"/>
  <c r="AA8" i="2"/>
  <c r="AE8" i="2"/>
  <c r="U8" i="2"/>
  <c r="AD8" i="2"/>
  <c r="AO8" i="2"/>
  <c r="AG11" i="3"/>
  <c r="AO11" i="3"/>
  <c r="I11" i="3"/>
  <c r="AU11" i="3"/>
  <c r="BD11" i="3"/>
  <c r="T11" i="3"/>
  <c r="AK11" i="3"/>
  <c r="O8" i="1"/>
  <c r="AL8" i="1"/>
  <c r="AB8" i="1"/>
  <c r="AS8" i="1"/>
  <c r="AN8" i="1"/>
  <c r="AW8" i="1"/>
  <c r="AZ31" i="1"/>
  <c r="N31" i="1"/>
  <c r="W31" i="1"/>
  <c r="AF31" i="1"/>
  <c r="AF24" i="1"/>
  <c r="AO24" i="1"/>
  <c r="AX24" i="1"/>
  <c r="T24" i="1"/>
  <c r="AK24" i="1"/>
  <c r="AT24" i="1"/>
  <c r="BC24" i="1"/>
  <c r="T8" i="2"/>
  <c r="AJ8" i="2"/>
  <c r="AN8" i="2"/>
  <c r="AQ8" i="2"/>
  <c r="AC8" i="2"/>
  <c r="AL8" i="2"/>
  <c r="AW8" i="2"/>
  <c r="BB11" i="3"/>
  <c r="V11" i="3"/>
  <c r="AD11" i="3"/>
  <c r="BC11" i="3"/>
  <c r="J11" i="3"/>
  <c r="AB11" i="3"/>
  <c r="AS11" i="3"/>
  <c r="BB8" i="1"/>
  <c r="K8" i="1"/>
  <c r="AJ8" i="1"/>
  <c r="BA8" i="1"/>
  <c r="AV8" i="1"/>
  <c r="BE8" i="1"/>
  <c r="AO31" i="1"/>
  <c r="Z31" i="1"/>
  <c r="AQ31" i="1"/>
  <c r="M31" i="1"/>
  <c r="V31" i="1"/>
  <c r="AE31" i="1"/>
  <c r="AN31" i="1"/>
  <c r="AN24" i="1"/>
  <c r="AW24" i="1"/>
  <c r="K24" i="1"/>
  <c r="AB24" i="1"/>
  <c r="AS24" i="1"/>
  <c r="BB24" i="1"/>
  <c r="AH8" i="2"/>
  <c r="AX8" i="2"/>
  <c r="AZ8" i="2"/>
  <c r="BD8" i="2"/>
  <c r="AK8" i="2"/>
  <c r="AT8" i="2"/>
  <c r="BE8" i="2"/>
  <c r="N11" i="3"/>
  <c r="AQ11" i="3"/>
  <c r="AY11" i="3"/>
  <c r="H11" i="3"/>
  <c r="R11" i="3"/>
  <c r="AJ11" i="3"/>
  <c r="BA11" i="3"/>
  <c r="V8" i="1"/>
  <c r="S8" i="1"/>
  <c r="AR8" i="1"/>
  <c r="AU8" i="1"/>
  <c r="BD8" i="1"/>
  <c r="J8" i="1"/>
  <c r="AW31" i="1"/>
  <c r="AH31" i="1"/>
  <c r="AY31" i="1"/>
  <c r="U31" i="1"/>
  <c r="AD31" i="1"/>
  <c r="AM31" i="1"/>
  <c r="AV31" i="1"/>
  <c r="AV24" i="1"/>
  <c r="BE24" i="1"/>
  <c r="S24" i="1"/>
  <c r="AJ24" i="1"/>
  <c r="BA24" i="1"/>
  <c r="J8" i="2"/>
  <c r="L8" i="2"/>
  <c r="P8" i="2"/>
  <c r="G8" i="2"/>
  <c r="AS8" i="2"/>
  <c r="BB8" i="2"/>
  <c r="E5" i="3"/>
  <c r="H5" i="3" s="1"/>
  <c r="AI11" i="3"/>
  <c r="Y11" i="3"/>
  <c r="G11" i="3"/>
  <c r="P11" i="3"/>
  <c r="Z11" i="3"/>
  <c r="W8" i="1"/>
  <c r="AA8" i="1"/>
  <c r="AZ8" i="1"/>
  <c r="BC8" i="1"/>
  <c r="I8" i="1"/>
  <c r="R8" i="1"/>
  <c r="BE31" i="1"/>
  <c r="AP31" i="1"/>
  <c r="L31" i="1"/>
  <c r="AC31" i="1"/>
  <c r="AL31" i="1"/>
  <c r="AU31" i="1"/>
  <c r="G9" i="1" l="1"/>
  <c r="BE5" i="3"/>
  <c r="Z5" i="3"/>
  <c r="P9" i="1"/>
  <c r="AB5" i="3"/>
  <c r="BA9" i="1"/>
  <c r="AL9" i="2"/>
  <c r="AO9" i="1"/>
  <c r="BA28" i="1"/>
  <c r="P8" i="3"/>
  <c r="AR28" i="1"/>
  <c r="AC8" i="3"/>
  <c r="BC5" i="3"/>
  <c r="AT28" i="1"/>
  <c r="G8" i="3"/>
  <c r="X5" i="3"/>
  <c r="R5" i="3"/>
  <c r="W28" i="1"/>
  <c r="Z28" i="1"/>
  <c r="I8" i="3"/>
  <c r="S8" i="3"/>
  <c r="AJ28" i="1"/>
  <c r="W8" i="3"/>
  <c r="AH8" i="3"/>
  <c r="W5" i="3"/>
  <c r="AU28" i="1"/>
  <c r="AI8" i="3"/>
  <c r="AP8" i="3"/>
  <c r="Y8" i="3"/>
  <c r="AI5" i="3"/>
  <c r="AZ28" i="1"/>
  <c r="M8" i="3"/>
  <c r="AZ8" i="3"/>
  <c r="AH28" i="1"/>
  <c r="BE9" i="1"/>
  <c r="AM5" i="3"/>
  <c r="I5" i="3"/>
  <c r="J9" i="1"/>
  <c r="AH5" i="3"/>
  <c r="AV5" i="3"/>
  <c r="AU5" i="3"/>
  <c r="AY5" i="3"/>
  <c r="Q5" i="3"/>
  <c r="J5" i="3"/>
  <c r="T5" i="3"/>
  <c r="M28" i="1"/>
  <c r="G28" i="1"/>
  <c r="AG9" i="1"/>
  <c r="AR9" i="1"/>
  <c r="J25" i="1"/>
  <c r="K28" i="1"/>
  <c r="AE5" i="3"/>
  <c r="AX5" i="3"/>
  <c r="N5" i="3"/>
  <c r="AQ5" i="3"/>
  <c r="M5" i="3"/>
  <c r="AT5" i="3"/>
  <c r="AL28" i="1"/>
  <c r="BC28" i="1"/>
  <c r="H9" i="1"/>
  <c r="AJ5" i="3"/>
  <c r="AF5" i="3"/>
  <c r="AA25" i="1"/>
  <c r="AI28" i="1"/>
  <c r="AP28" i="1"/>
  <c r="AE9" i="2"/>
  <c r="AC9" i="2"/>
  <c r="T9" i="2"/>
  <c r="S9" i="2"/>
  <c r="AN5" i="3"/>
  <c r="AR25" i="1"/>
  <c r="AS9" i="2"/>
  <c r="AP9" i="2"/>
  <c r="AB9" i="2"/>
  <c r="U5" i="3"/>
  <c r="G5" i="3"/>
  <c r="AW5" i="3"/>
  <c r="AO5" i="3"/>
  <c r="V5" i="3"/>
  <c r="BD5" i="3"/>
  <c r="N28" i="1"/>
  <c r="S28" i="1"/>
  <c r="Q28" i="1"/>
  <c r="S9" i="1"/>
  <c r="AI9" i="2"/>
  <c r="H9" i="2"/>
  <c r="AY9" i="2"/>
  <c r="V9" i="2"/>
  <c r="AC5" i="3"/>
  <c r="S5" i="3"/>
  <c r="Y5" i="3"/>
  <c r="BA5" i="3"/>
  <c r="AD5" i="3"/>
  <c r="O28" i="1"/>
  <c r="AC28" i="1"/>
  <c r="Y28" i="1"/>
  <c r="AA9" i="1"/>
  <c r="AU9" i="2"/>
  <c r="P9" i="2"/>
  <c r="AP5" i="3"/>
  <c r="AS5" i="3"/>
  <c r="AK5" i="3"/>
  <c r="L5" i="3"/>
  <c r="AL5" i="3"/>
  <c r="AA28" i="1"/>
  <c r="AD28" i="1"/>
  <c r="AG28" i="1"/>
  <c r="BB9" i="1"/>
  <c r="AJ9" i="1"/>
  <c r="Z9" i="2"/>
  <c r="Q9" i="2"/>
  <c r="Y9" i="2"/>
  <c r="P5" i="3"/>
  <c r="S25" i="1"/>
  <c r="AJ25" i="1"/>
  <c r="BA25" i="1"/>
  <c r="G25" i="1"/>
  <c r="P25" i="1"/>
  <c r="Y25" i="1"/>
  <c r="AY28" i="1"/>
  <c r="AM28" i="1"/>
  <c r="T28" i="1"/>
  <c r="V28" i="1"/>
  <c r="I28" i="1"/>
  <c r="R28" i="1"/>
  <c r="Y9" i="1"/>
  <c r="AT9" i="1"/>
  <c r="BC9" i="1"/>
  <c r="AW9" i="1"/>
  <c r="K9" i="1"/>
  <c r="AB9" i="1"/>
  <c r="AS9" i="1"/>
  <c r="C7" i="3"/>
  <c r="C12" i="3"/>
  <c r="F10" i="2"/>
  <c r="D11" i="2" s="1"/>
  <c r="C32" i="1"/>
  <c r="C27" i="1"/>
  <c r="J9" i="2"/>
  <c r="M9" i="2"/>
  <c r="O9" i="2"/>
  <c r="BC9" i="2"/>
  <c r="I9" i="2"/>
  <c r="L9" i="2"/>
  <c r="AU8" i="3"/>
  <c r="AW8" i="3"/>
  <c r="BA8" i="3"/>
  <c r="BD8" i="3"/>
  <c r="Z8" i="3"/>
  <c r="AR8" i="3"/>
  <c r="BB8" i="3"/>
  <c r="O25" i="1"/>
  <c r="X25" i="1"/>
  <c r="AG25" i="1"/>
  <c r="R25" i="1"/>
  <c r="AI25" i="1"/>
  <c r="AZ25" i="1"/>
  <c r="N25" i="1"/>
  <c r="W25" i="1"/>
  <c r="AF25" i="1"/>
  <c r="AO25" i="1"/>
  <c r="Z25" i="1"/>
  <c r="AQ25" i="1"/>
  <c r="M25" i="1"/>
  <c r="V25" i="1"/>
  <c r="AE25" i="1"/>
  <c r="AN25" i="1"/>
  <c r="AW25" i="1"/>
  <c r="F10" i="1"/>
  <c r="D11" i="1" s="1"/>
  <c r="O9" i="1"/>
  <c r="X9" i="1"/>
  <c r="R9" i="1"/>
  <c r="AI9" i="1"/>
  <c r="AZ9" i="1"/>
  <c r="BB9" i="2"/>
  <c r="X9" i="2"/>
  <c r="AG9" i="2"/>
  <c r="AJ9" i="2"/>
  <c r="AM8" i="3"/>
  <c r="AO8" i="3"/>
  <c r="AF8" i="3"/>
  <c r="AX8" i="3"/>
  <c r="N8" i="3"/>
  <c r="AH25" i="1"/>
  <c r="AY25" i="1"/>
  <c r="U25" i="1"/>
  <c r="AD25" i="1"/>
  <c r="AM25" i="1"/>
  <c r="AV25" i="1"/>
  <c r="BE25" i="1"/>
  <c r="U28" i="1"/>
  <c r="AF28" i="1"/>
  <c r="AO28" i="1"/>
  <c r="AX28" i="1"/>
  <c r="N9" i="1"/>
  <c r="W9" i="1"/>
  <c r="AF9" i="1"/>
  <c r="Z9" i="1"/>
  <c r="AQ9" i="1"/>
  <c r="M9" i="1"/>
  <c r="G9" i="2"/>
  <c r="K9" i="2"/>
  <c r="N9" i="2"/>
  <c r="E29" i="1"/>
  <c r="AZ29" i="1" s="1"/>
  <c r="AF9" i="2"/>
  <c r="AO9" i="2"/>
  <c r="AR9" i="2"/>
  <c r="AV8" i="3"/>
  <c r="AY8" i="3"/>
  <c r="BC8" i="3"/>
  <c r="AS8" i="3"/>
  <c r="L8" i="3"/>
  <c r="V8" i="3"/>
  <c r="AP25" i="1"/>
  <c r="L25" i="1"/>
  <c r="AC25" i="1"/>
  <c r="AL25" i="1"/>
  <c r="AU25" i="1"/>
  <c r="BD25" i="1"/>
  <c r="AQ28" i="1"/>
  <c r="AE28" i="1"/>
  <c r="AN28" i="1"/>
  <c r="AW28" i="1"/>
  <c r="V9" i="1"/>
  <c r="AE9" i="1"/>
  <c r="AN9" i="1"/>
  <c r="AH9" i="1"/>
  <c r="AY9" i="1"/>
  <c r="U9" i="1"/>
  <c r="U9" i="2"/>
  <c r="W9" i="2"/>
  <c r="AA9" i="2"/>
  <c r="R9" i="2"/>
  <c r="AN9" i="2"/>
  <c r="AW9" i="2"/>
  <c r="AZ9" i="2"/>
  <c r="H8" i="3"/>
  <c r="K8" i="3"/>
  <c r="O8" i="3"/>
  <c r="Q8" i="3"/>
  <c r="BE8" i="3"/>
  <c r="T8" i="3"/>
  <c r="AD8" i="3"/>
  <c r="AG5" i="3"/>
  <c r="K5" i="3"/>
  <c r="O5" i="3"/>
  <c r="AR5" i="3"/>
  <c r="BB5" i="3"/>
  <c r="AX25" i="1"/>
  <c r="T25" i="1"/>
  <c r="AK25" i="1"/>
  <c r="AT25" i="1"/>
  <c r="BC25" i="1"/>
  <c r="I25" i="1"/>
  <c r="X28" i="1"/>
  <c r="P28" i="1"/>
  <c r="BB28" i="1"/>
  <c r="AS28" i="1"/>
  <c r="AV28" i="1"/>
  <c r="BE28" i="1"/>
  <c r="I9" i="1"/>
  <c r="AD9" i="1"/>
  <c r="AM9" i="1"/>
  <c r="AV9" i="1"/>
  <c r="AP9" i="1"/>
  <c r="L9" i="1"/>
  <c r="AC9" i="1"/>
  <c r="AH9" i="2"/>
  <c r="AK9" i="2"/>
  <c r="AM9" i="2"/>
  <c r="AD9" i="2"/>
  <c r="AV9" i="2"/>
  <c r="BE9" i="2"/>
  <c r="E9" i="3"/>
  <c r="BB9" i="3" s="1"/>
  <c r="U8" i="3"/>
  <c r="X8" i="3"/>
  <c r="AA8" i="3"/>
  <c r="AE8" i="3"/>
  <c r="J8" i="3"/>
  <c r="AB8" i="3"/>
  <c r="AL8" i="3"/>
  <c r="AA5" i="3"/>
  <c r="AZ5" i="3"/>
  <c r="K25" i="1"/>
  <c r="AB25" i="1"/>
  <c r="AS25" i="1"/>
  <c r="BB25" i="1"/>
  <c r="H25" i="1"/>
  <c r="AK28" i="1"/>
  <c r="AB28" i="1"/>
  <c r="H28" i="1"/>
  <c r="L28" i="1"/>
  <c r="BD28" i="1"/>
  <c r="Q9" i="1"/>
  <c r="AL9" i="1"/>
  <c r="AU9" i="1"/>
  <c r="BD9" i="1"/>
  <c r="AX9" i="1"/>
  <c r="T9" i="1"/>
  <c r="AK9" i="1"/>
  <c r="E26" i="1"/>
  <c r="AQ26" i="1" s="1"/>
  <c r="AT9" i="2"/>
  <c r="AX9" i="2"/>
  <c r="BA9" i="2"/>
  <c r="AQ9" i="2"/>
  <c r="BD9" i="2"/>
  <c r="E6" i="3"/>
  <c r="AP6" i="3" s="1"/>
  <c r="AG8" i="3"/>
  <c r="AK8" i="3"/>
  <c r="AN8" i="3"/>
  <c r="AQ8" i="3"/>
  <c r="R8" i="3"/>
  <c r="AJ8" i="3"/>
  <c r="AZ6" i="3" l="1"/>
  <c r="AE29" i="1"/>
  <c r="AY29" i="1"/>
  <c r="AM29" i="1"/>
  <c r="AK6" i="3"/>
  <c r="H6" i="3"/>
  <c r="AB6" i="3"/>
  <c r="AN6" i="3"/>
  <c r="Y29" i="1"/>
  <c r="S6" i="3"/>
  <c r="AG9" i="3"/>
  <c r="AH29" i="1"/>
  <c r="AI9" i="3"/>
  <c r="U6" i="3"/>
  <c r="AM9" i="3"/>
  <c r="AS29" i="1"/>
  <c r="AR6" i="3"/>
  <c r="AU6" i="3"/>
  <c r="AP9" i="3"/>
  <c r="U29" i="1"/>
  <c r="AR10" i="1"/>
  <c r="AR26" i="1"/>
  <c r="I10" i="1"/>
  <c r="AA10" i="1"/>
  <c r="BE6" i="3"/>
  <c r="AV6" i="3"/>
  <c r="W6" i="3"/>
  <c r="Q6" i="3"/>
  <c r="AW6" i="3"/>
  <c r="J6" i="3"/>
  <c r="G6" i="3"/>
  <c r="AD6" i="3"/>
  <c r="T6" i="3"/>
  <c r="AL6" i="3"/>
  <c r="M6" i="3"/>
  <c r="AC6" i="3"/>
  <c r="AS6" i="3"/>
  <c r="L6" i="3"/>
  <c r="AT6" i="3"/>
  <c r="R6" i="3"/>
  <c r="J10" i="1"/>
  <c r="AA6" i="3"/>
  <c r="BC6" i="3"/>
  <c r="I6" i="3"/>
  <c r="Y6" i="3"/>
  <c r="BB6" i="3"/>
  <c r="AX6" i="3"/>
  <c r="O6" i="3"/>
  <c r="AE6" i="3"/>
  <c r="AI6" i="3"/>
  <c r="AY6" i="3"/>
  <c r="X6" i="3"/>
  <c r="N6" i="3"/>
  <c r="AO6" i="3"/>
  <c r="K6" i="3"/>
  <c r="BA6" i="3"/>
  <c r="BD6" i="3"/>
  <c r="AJ26" i="1"/>
  <c r="BA26" i="1"/>
  <c r="G26" i="1"/>
  <c r="P26" i="1"/>
  <c r="Y26" i="1"/>
  <c r="AH26" i="1"/>
  <c r="AY26" i="1"/>
  <c r="S9" i="3"/>
  <c r="W9" i="3"/>
  <c r="Z9" i="3"/>
  <c r="AC9" i="3"/>
  <c r="AZ9" i="3"/>
  <c r="H9" i="3"/>
  <c r="P29" i="1"/>
  <c r="H29" i="1"/>
  <c r="BB29" i="1"/>
  <c r="Q29" i="1"/>
  <c r="Z29" i="1"/>
  <c r="AQ29" i="1"/>
  <c r="BE10" i="1"/>
  <c r="S10" i="1"/>
  <c r="AJ10" i="1"/>
  <c r="BA10" i="1"/>
  <c r="G10" i="1"/>
  <c r="P10" i="1"/>
  <c r="E32" i="1"/>
  <c r="AX32" i="1" s="1"/>
  <c r="AW10" i="2"/>
  <c r="BA10" i="2"/>
  <c r="BE10" i="2"/>
  <c r="AT10" i="2"/>
  <c r="G10" i="2"/>
  <c r="AQ10" i="2"/>
  <c r="AG26" i="1"/>
  <c r="P9" i="3"/>
  <c r="F11" i="1"/>
  <c r="D12" i="1" s="1"/>
  <c r="O10" i="1"/>
  <c r="X10" i="1"/>
  <c r="F11" i="2"/>
  <c r="D12" i="2" s="1"/>
  <c r="I10" i="2"/>
  <c r="M10" i="2"/>
  <c r="P10" i="2"/>
  <c r="BC10" i="2"/>
  <c r="O10" i="2"/>
  <c r="AY10" i="2"/>
  <c r="O26" i="1"/>
  <c r="AZ26" i="1"/>
  <c r="N26" i="1"/>
  <c r="W26" i="1"/>
  <c r="AF26" i="1"/>
  <c r="AO26" i="1"/>
  <c r="AX26" i="1"/>
  <c r="AS9" i="3"/>
  <c r="AW9" i="3"/>
  <c r="AY9" i="3"/>
  <c r="BC9" i="3"/>
  <c r="N9" i="3"/>
  <c r="X9" i="3"/>
  <c r="AU29" i="1"/>
  <c r="AG29" i="1"/>
  <c r="AP29" i="1"/>
  <c r="L29" i="1"/>
  <c r="R10" i="1"/>
  <c r="AI10" i="1"/>
  <c r="AZ10" i="1"/>
  <c r="N10" i="1"/>
  <c r="W10" i="1"/>
  <c r="AF10" i="1"/>
  <c r="R10" i="2"/>
  <c r="V10" i="2"/>
  <c r="Y10" i="2"/>
  <c r="AD10" i="2"/>
  <c r="L10" i="2"/>
  <c r="W10" i="2"/>
  <c r="E12" i="3"/>
  <c r="G12" i="3" s="1"/>
  <c r="M26" i="1"/>
  <c r="V26" i="1"/>
  <c r="AE26" i="1"/>
  <c r="AN26" i="1"/>
  <c r="AW26" i="1"/>
  <c r="K26" i="1"/>
  <c r="R9" i="3"/>
  <c r="I9" i="3"/>
  <c r="K9" i="3"/>
  <c r="O9" i="3"/>
  <c r="L9" i="3"/>
  <c r="V9" i="3"/>
  <c r="AF9" i="3"/>
  <c r="BA29" i="1"/>
  <c r="N29" i="1"/>
  <c r="BC29" i="1"/>
  <c r="AO29" i="1"/>
  <c r="AX29" i="1"/>
  <c r="T29" i="1"/>
  <c r="Q10" i="1"/>
  <c r="Z10" i="1"/>
  <c r="AQ10" i="1"/>
  <c r="M10" i="1"/>
  <c r="V10" i="1"/>
  <c r="AE10" i="1"/>
  <c r="AN10" i="1"/>
  <c r="AG10" i="2"/>
  <c r="AJ10" i="2"/>
  <c r="AN10" i="2"/>
  <c r="AR10" i="2"/>
  <c r="T10" i="2"/>
  <c r="AF10" i="2"/>
  <c r="E7" i="3"/>
  <c r="AJ7" i="3" s="1"/>
  <c r="P6" i="3"/>
  <c r="Z6" i="3"/>
  <c r="U26" i="1"/>
  <c r="AD26" i="1"/>
  <c r="AM26" i="1"/>
  <c r="AV26" i="1"/>
  <c r="BE26" i="1"/>
  <c r="S26" i="1"/>
  <c r="AE9" i="3"/>
  <c r="U9" i="3"/>
  <c r="Y9" i="3"/>
  <c r="AA9" i="3"/>
  <c r="T9" i="3"/>
  <c r="AD9" i="3"/>
  <c r="AN9" i="3"/>
  <c r="M29" i="1"/>
  <c r="W29" i="1"/>
  <c r="V29" i="1"/>
  <c r="AN29" i="1"/>
  <c r="AW29" i="1"/>
  <c r="K29" i="1"/>
  <c r="AB29" i="1"/>
  <c r="Y10" i="1"/>
  <c r="AH10" i="1"/>
  <c r="AY10" i="1"/>
  <c r="U10" i="1"/>
  <c r="AD10" i="1"/>
  <c r="AM10" i="1"/>
  <c r="AV10" i="1"/>
  <c r="AS10" i="2"/>
  <c r="AV10" i="2"/>
  <c r="AZ10" i="2"/>
  <c r="BB10" i="2"/>
  <c r="K10" i="2"/>
  <c r="AC10" i="2"/>
  <c r="AO10" i="2"/>
  <c r="X26" i="1"/>
  <c r="AH6" i="3"/>
  <c r="AC26" i="1"/>
  <c r="AL26" i="1"/>
  <c r="AU26" i="1"/>
  <c r="BD26" i="1"/>
  <c r="J26" i="1"/>
  <c r="AA26" i="1"/>
  <c r="AQ9" i="3"/>
  <c r="AH9" i="3"/>
  <c r="AK9" i="3"/>
  <c r="AO9" i="3"/>
  <c r="AB9" i="3"/>
  <c r="AL9" i="3"/>
  <c r="AV9" i="3"/>
  <c r="AF29" i="1"/>
  <c r="X29" i="1"/>
  <c r="AD29" i="1"/>
  <c r="AV29" i="1"/>
  <c r="BE29" i="1"/>
  <c r="S29" i="1"/>
  <c r="AJ29" i="1"/>
  <c r="AG10" i="1"/>
  <c r="AP10" i="1"/>
  <c r="L10" i="1"/>
  <c r="AC10" i="1"/>
  <c r="AL10" i="1"/>
  <c r="AU10" i="1"/>
  <c r="BD10" i="1"/>
  <c r="E27" i="1"/>
  <c r="AK27" i="1" s="1"/>
  <c r="H10" i="2"/>
  <c r="J10" i="2"/>
  <c r="N10" i="2"/>
  <c r="S10" i="2"/>
  <c r="AL10" i="2"/>
  <c r="AX10" i="2"/>
  <c r="AP26" i="1"/>
  <c r="L26" i="1"/>
  <c r="AM6" i="3"/>
  <c r="AQ6" i="3"/>
  <c r="AG6" i="3"/>
  <c r="AJ6" i="3"/>
  <c r="V6" i="3"/>
  <c r="AF6" i="3"/>
  <c r="T26" i="1"/>
  <c r="AK26" i="1"/>
  <c r="AT26" i="1"/>
  <c r="BC26" i="1"/>
  <c r="I26" i="1"/>
  <c r="R26" i="1"/>
  <c r="AI26" i="1"/>
  <c r="BE9" i="3"/>
  <c r="AU9" i="3"/>
  <c r="AX9" i="3"/>
  <c r="BA9" i="3"/>
  <c r="AJ9" i="3"/>
  <c r="AT9" i="3"/>
  <c r="BD9" i="3"/>
  <c r="O29" i="1"/>
  <c r="G29" i="1"/>
  <c r="AL29" i="1"/>
  <c r="BD29" i="1"/>
  <c r="J29" i="1"/>
  <c r="AA29" i="1"/>
  <c r="AR29" i="1"/>
  <c r="AO10" i="1"/>
  <c r="AX10" i="1"/>
  <c r="T10" i="1"/>
  <c r="AK10" i="1"/>
  <c r="AT10" i="1"/>
  <c r="BC10" i="1"/>
  <c r="Q10" i="2"/>
  <c r="U10" i="2"/>
  <c r="X10" i="2"/>
  <c r="Z10" i="2"/>
  <c r="AB10" i="2"/>
  <c r="AU10" i="2"/>
  <c r="AA10" i="2"/>
  <c r="AB26" i="1"/>
  <c r="AS26" i="1"/>
  <c r="BB26" i="1"/>
  <c r="H26" i="1"/>
  <c r="Q26" i="1"/>
  <c r="Z26" i="1"/>
  <c r="G9" i="3"/>
  <c r="J9" i="3"/>
  <c r="M9" i="3"/>
  <c r="Q9" i="3"/>
  <c r="AR9" i="3"/>
  <c r="AK29" i="1"/>
  <c r="AC29" i="1"/>
  <c r="AT29" i="1"/>
  <c r="I29" i="1"/>
  <c r="R29" i="1"/>
  <c r="AI29" i="1"/>
  <c r="AW10" i="1"/>
  <c r="K10" i="1"/>
  <c r="AB10" i="1"/>
  <c r="AS10" i="1"/>
  <c r="BB10" i="1"/>
  <c r="H10" i="1"/>
  <c r="AE10" i="2"/>
  <c r="AH10" i="2"/>
  <c r="AM10" i="2"/>
  <c r="AP10" i="2"/>
  <c r="AK10" i="2"/>
  <c r="BD10" i="2"/>
  <c r="AI10" i="2"/>
  <c r="AQ11" i="2" l="1"/>
  <c r="AR11" i="2"/>
  <c r="AV11" i="2"/>
  <c r="AK11" i="2"/>
  <c r="H11" i="2"/>
  <c r="AT27" i="1"/>
  <c r="G27" i="1"/>
  <c r="AF11" i="2"/>
  <c r="BB11" i="1"/>
  <c r="AM32" i="1"/>
  <c r="L11" i="1"/>
  <c r="M7" i="3"/>
  <c r="K27" i="1"/>
  <c r="AQ7" i="3"/>
  <c r="AH12" i="3"/>
  <c r="AA11" i="2"/>
  <c r="U11" i="2"/>
  <c r="K7" i="3"/>
  <c r="AG7" i="3"/>
  <c r="Q11" i="2"/>
  <c r="AU11" i="2"/>
  <c r="AB11" i="1"/>
  <c r="U7" i="3"/>
  <c r="W7" i="3"/>
  <c r="X7" i="3"/>
  <c r="AG11" i="2"/>
  <c r="BE11" i="2"/>
  <c r="X27" i="1"/>
  <c r="BA7" i="3"/>
  <c r="AQ12" i="3"/>
  <c r="W11" i="2"/>
  <c r="BC11" i="2"/>
  <c r="BB11" i="2"/>
  <c r="AI32" i="1"/>
  <c r="AH7" i="3"/>
  <c r="AP27" i="1"/>
  <c r="O7" i="3"/>
  <c r="Y12" i="3"/>
  <c r="J11" i="2"/>
  <c r="K11" i="2"/>
  <c r="Z11" i="2"/>
  <c r="AJ32" i="1"/>
  <c r="BC7" i="3"/>
  <c r="AR7" i="3"/>
  <c r="AR12" i="3"/>
  <c r="AJ11" i="1"/>
  <c r="G11" i="1"/>
  <c r="AQ32" i="1"/>
  <c r="AR32" i="1"/>
  <c r="V32" i="1"/>
  <c r="AU32" i="1"/>
  <c r="Q32" i="1"/>
  <c r="I32" i="1"/>
  <c r="AZ7" i="3"/>
  <c r="AZ12" i="3"/>
  <c r="AR11" i="1"/>
  <c r="BC11" i="1"/>
  <c r="AY32" i="1"/>
  <c r="M32" i="1"/>
  <c r="AD32" i="1"/>
  <c r="BC32" i="1"/>
  <c r="AW32" i="1"/>
  <c r="AK11" i="1"/>
  <c r="H11" i="1"/>
  <c r="S32" i="1"/>
  <c r="U32" i="1"/>
  <c r="AL32" i="1"/>
  <c r="H32" i="1"/>
  <c r="BE32" i="1"/>
  <c r="P12" i="3"/>
  <c r="N12" i="3"/>
  <c r="AS11" i="1"/>
  <c r="P11" i="1"/>
  <c r="AA32" i="1"/>
  <c r="AC32" i="1"/>
  <c r="AT32" i="1"/>
  <c r="P32" i="1"/>
  <c r="J32" i="1"/>
  <c r="AM7" i="3"/>
  <c r="P7" i="3"/>
  <c r="Q12" i="3"/>
  <c r="W12" i="3"/>
  <c r="BA11" i="1"/>
  <c r="I11" i="1"/>
  <c r="L32" i="1"/>
  <c r="AK32" i="1"/>
  <c r="BB32" i="1"/>
  <c r="AN32" i="1"/>
  <c r="R32" i="1"/>
  <c r="Q11" i="1"/>
  <c r="T32" i="1"/>
  <c r="AS32" i="1"/>
  <c r="G32" i="1"/>
  <c r="AV32" i="1"/>
  <c r="AB27" i="1"/>
  <c r="Z7" i="3"/>
  <c r="Z12" i="3"/>
  <c r="T11" i="1"/>
  <c r="AT11" i="1"/>
  <c r="Z11" i="1"/>
  <c r="AB32" i="1"/>
  <c r="BA32" i="1"/>
  <c r="AE32" i="1"/>
  <c r="BD32" i="1"/>
  <c r="O12" i="3"/>
  <c r="R11" i="1"/>
  <c r="AI11" i="1"/>
  <c r="AQ11" i="1"/>
  <c r="S27" i="1"/>
  <c r="N27" i="1"/>
  <c r="AO27" i="1"/>
  <c r="AS27" i="1"/>
  <c r="AT7" i="3"/>
  <c r="AF7" i="3"/>
  <c r="AP7" i="3"/>
  <c r="AA12" i="3"/>
  <c r="AV12" i="3"/>
  <c r="AG12" i="3"/>
  <c r="AP12" i="3"/>
  <c r="M12" i="3"/>
  <c r="V12" i="3"/>
  <c r="AE12" i="3"/>
  <c r="F12" i="2"/>
  <c r="BE12" i="2" s="1"/>
  <c r="AH11" i="2"/>
  <c r="Y11" i="1"/>
  <c r="AH11" i="1"/>
  <c r="AY11" i="1"/>
  <c r="BD27" i="1"/>
  <c r="W27" i="1"/>
  <c r="V27" i="1"/>
  <c r="AE27" i="1"/>
  <c r="AX27" i="1"/>
  <c r="R27" i="1"/>
  <c r="AI27" i="1"/>
  <c r="BB27" i="1"/>
  <c r="AU27" i="1"/>
  <c r="Y7" i="3"/>
  <c r="AC7" i="3"/>
  <c r="S7" i="3"/>
  <c r="I7" i="3"/>
  <c r="AN7" i="3"/>
  <c r="AX7" i="3"/>
  <c r="AF12" i="3"/>
  <c r="S12" i="3"/>
  <c r="AO12" i="3"/>
  <c r="AX12" i="3"/>
  <c r="U12" i="3"/>
  <c r="AD12" i="3"/>
  <c r="AM12" i="3"/>
  <c r="AM11" i="2"/>
  <c r="M11" i="2"/>
  <c r="AW11" i="2"/>
  <c r="T11" i="2"/>
  <c r="BA11" i="2"/>
  <c r="N11" i="2"/>
  <c r="AP11" i="2"/>
  <c r="F12" i="1"/>
  <c r="AT12" i="1" s="1"/>
  <c r="O11" i="1"/>
  <c r="X11" i="1"/>
  <c r="AG11" i="1"/>
  <c r="AP11" i="1"/>
  <c r="Z32" i="1"/>
  <c r="AF27" i="1"/>
  <c r="J27" i="1"/>
  <c r="AD27" i="1"/>
  <c r="AN27" i="1"/>
  <c r="I27" i="1"/>
  <c r="Z27" i="1"/>
  <c r="AR27" i="1"/>
  <c r="M27" i="1"/>
  <c r="BC27" i="1"/>
  <c r="AL7" i="3"/>
  <c r="AO7" i="3"/>
  <c r="AE7" i="3"/>
  <c r="V7" i="3"/>
  <c r="AV7" i="3"/>
  <c r="L7" i="3"/>
  <c r="AI12" i="3"/>
  <c r="AY12" i="3"/>
  <c r="AW12" i="3"/>
  <c r="L12" i="3"/>
  <c r="AC12" i="3"/>
  <c r="AL12" i="3"/>
  <c r="AU12" i="3"/>
  <c r="BD11" i="2"/>
  <c r="AB11" i="2"/>
  <c r="R11" i="2"/>
  <c r="AE11" i="2"/>
  <c r="G11" i="2"/>
  <c r="V11" i="2"/>
  <c r="AX11" i="2"/>
  <c r="AZ11" i="1"/>
  <c r="N11" i="1"/>
  <c r="W11" i="1"/>
  <c r="AF11" i="1"/>
  <c r="AO11" i="1"/>
  <c r="AX11" i="1"/>
  <c r="Y32" i="1"/>
  <c r="AH32" i="1"/>
  <c r="AY27" i="1"/>
  <c r="AA27" i="1"/>
  <c r="AL27" i="1"/>
  <c r="AW27" i="1"/>
  <c r="Q27" i="1"/>
  <c r="AH27" i="1"/>
  <c r="BA27" i="1"/>
  <c r="U27" i="1"/>
  <c r="AY7" i="3"/>
  <c r="BB7" i="3"/>
  <c r="AS7" i="3"/>
  <c r="AI7" i="3"/>
  <c r="BD7" i="3"/>
  <c r="T7" i="3"/>
  <c r="H12" i="3"/>
  <c r="X12" i="3"/>
  <c r="BE12" i="3"/>
  <c r="T12" i="3"/>
  <c r="AK12" i="3"/>
  <c r="AT12" i="3"/>
  <c r="BC12" i="3"/>
  <c r="I11" i="2"/>
  <c r="AS11" i="2"/>
  <c r="AI11" i="2"/>
  <c r="AO11" i="2"/>
  <c r="P11" i="2"/>
  <c r="AD11" i="2"/>
  <c r="M11" i="1"/>
  <c r="V11" i="1"/>
  <c r="AE11" i="1"/>
  <c r="AN11" i="1"/>
  <c r="AW11" i="1"/>
  <c r="K11" i="1"/>
  <c r="O32" i="1"/>
  <c r="X32" i="1"/>
  <c r="AG32" i="1"/>
  <c r="AP32" i="1"/>
  <c r="O27" i="1"/>
  <c r="AJ27" i="1"/>
  <c r="AM27" i="1"/>
  <c r="AV27" i="1"/>
  <c r="H27" i="1"/>
  <c r="Y27" i="1"/>
  <c r="AQ27" i="1"/>
  <c r="L27" i="1"/>
  <c r="AC27" i="1"/>
  <c r="AK7" i="3"/>
  <c r="N7" i="3"/>
  <c r="Q7" i="3"/>
  <c r="BE7" i="3"/>
  <c r="AU7" i="3"/>
  <c r="J7" i="3"/>
  <c r="AB7" i="3"/>
  <c r="AN12" i="3"/>
  <c r="BD12" i="3"/>
  <c r="J12" i="3"/>
  <c r="AB12" i="3"/>
  <c r="AS12" i="3"/>
  <c r="BB12" i="3"/>
  <c r="X11" i="2"/>
  <c r="O11" i="2"/>
  <c r="AY11" i="2"/>
  <c r="AZ11" i="2"/>
  <c r="Y11" i="2"/>
  <c r="AL11" i="2"/>
  <c r="U11" i="1"/>
  <c r="AD11" i="1"/>
  <c r="AM11" i="1"/>
  <c r="AV11" i="1"/>
  <c r="BE11" i="1"/>
  <c r="S11" i="1"/>
  <c r="K32" i="1"/>
  <c r="AZ32" i="1"/>
  <c r="N32" i="1"/>
  <c r="W32" i="1"/>
  <c r="AF32" i="1"/>
  <c r="AO32" i="1"/>
  <c r="BE27" i="1"/>
  <c r="P27" i="1"/>
  <c r="AG27" i="1"/>
  <c r="AZ27" i="1"/>
  <c r="T27" i="1"/>
  <c r="AW7" i="3"/>
  <c r="AA7" i="3"/>
  <c r="AD7" i="3"/>
  <c r="G7" i="3"/>
  <c r="H7" i="3"/>
  <c r="R7" i="3"/>
  <c r="K12" i="3"/>
  <c r="I12" i="3"/>
  <c r="R12" i="3"/>
  <c r="AJ12" i="3"/>
  <c r="BA12" i="3"/>
  <c r="AN11" i="2"/>
  <c r="AC11" i="2"/>
  <c r="S11" i="2"/>
  <c r="L11" i="2"/>
  <c r="AJ11" i="2"/>
  <c r="AT11" i="2"/>
  <c r="AC11" i="1"/>
  <c r="AL11" i="1"/>
  <c r="AU11" i="1"/>
  <c r="BD11" i="1"/>
  <c r="J11" i="1"/>
  <c r="AA11" i="1"/>
  <c r="AM12" i="1" l="1"/>
  <c r="BD12" i="1"/>
  <c r="AR12" i="1"/>
  <c r="AJ12" i="1"/>
  <c r="AU12" i="1"/>
  <c r="BD12" i="2"/>
  <c r="R12" i="2"/>
  <c r="AV12" i="1"/>
  <c r="BA12" i="1"/>
  <c r="G12" i="2"/>
  <c r="AI12" i="2"/>
  <c r="X12" i="2"/>
  <c r="AY12" i="2"/>
  <c r="BE12" i="1"/>
  <c r="AN12" i="2"/>
  <c r="K12" i="2"/>
  <c r="AD12" i="2"/>
  <c r="J12" i="1"/>
  <c r="S12" i="2"/>
  <c r="AB12" i="2"/>
  <c r="V12" i="2"/>
  <c r="S12" i="1"/>
  <c r="AL12" i="2"/>
  <c r="AT12" i="2"/>
  <c r="I12" i="2"/>
  <c r="AE12" i="1"/>
  <c r="AA12" i="1"/>
  <c r="BC12" i="2"/>
  <c r="N12" i="2"/>
  <c r="U12" i="2"/>
  <c r="AN12" i="1"/>
  <c r="AW12" i="1"/>
  <c r="K12" i="1"/>
  <c r="AB12" i="1"/>
  <c r="AS12" i="1"/>
  <c r="BB12" i="1"/>
  <c r="AU12" i="2"/>
  <c r="M12" i="2"/>
  <c r="AF12" i="2"/>
  <c r="Q12" i="2"/>
  <c r="AC12" i="2"/>
  <c r="BC12" i="1"/>
  <c r="I12" i="1"/>
  <c r="R12" i="1"/>
  <c r="AI12" i="1"/>
  <c r="AZ12" i="1"/>
  <c r="N12" i="1"/>
  <c r="J12" i="2"/>
  <c r="AQ12" i="2"/>
  <c r="Y12" i="2"/>
  <c r="AK12" i="2"/>
  <c r="H12" i="1"/>
  <c r="Q12" i="1"/>
  <c r="Z12" i="1"/>
  <c r="AQ12" i="1"/>
  <c r="M12" i="1"/>
  <c r="V12" i="1"/>
  <c r="H12" i="2"/>
  <c r="AV12" i="2"/>
  <c r="T12" i="2"/>
  <c r="BB12" i="2"/>
  <c r="AG12" i="2"/>
  <c r="AS12" i="2"/>
  <c r="G12" i="1"/>
  <c r="P12" i="1"/>
  <c r="Y12" i="1"/>
  <c r="AH12" i="1"/>
  <c r="AY12" i="1"/>
  <c r="U12" i="1"/>
  <c r="AD12" i="1"/>
  <c r="AA12" i="2"/>
  <c r="P12" i="2"/>
  <c r="AE12" i="2"/>
  <c r="O12" i="2"/>
  <c r="AO12" i="2"/>
  <c r="BA12" i="2"/>
  <c r="O12" i="1"/>
  <c r="X12" i="1"/>
  <c r="AG12" i="1"/>
  <c r="AP12" i="1"/>
  <c r="L12" i="1"/>
  <c r="AC12" i="1"/>
  <c r="AL12" i="1"/>
  <c r="W12" i="2"/>
  <c r="AR12" i="2"/>
  <c r="AH12" i="2"/>
  <c r="AP12" i="2"/>
  <c r="Z12" i="2"/>
  <c r="AW12" i="2"/>
  <c r="W12" i="1"/>
  <c r="AF12" i="1"/>
  <c r="AO12" i="1"/>
  <c r="AX12" i="1"/>
  <c r="T12" i="1"/>
  <c r="AK12" i="1"/>
  <c r="AM12" i="2"/>
  <c r="L12" i="2"/>
  <c r="AX12" i="2"/>
  <c r="AZ12" i="2"/>
  <c r="AJ12" i="2"/>
</calcChain>
</file>

<file path=xl/sharedStrings.xml><?xml version="1.0" encoding="utf-8"?>
<sst xmlns="http://schemas.openxmlformats.org/spreadsheetml/2006/main" count="177" uniqueCount="58">
  <si>
    <t>Gantt de actividades y recursos – Caso CONIN</t>
  </si>
  <si>
    <t>Paso</t>
  </si>
  <si>
    <t>Actividad</t>
  </si>
  <si>
    <t>Responsable</t>
  </si>
  <si>
    <t>Inicio</t>
  </si>
  <si>
    <t>Duración</t>
  </si>
  <si>
    <t>Fin</t>
  </si>
  <si>
    <t>Recepción y admisión</t>
  </si>
  <si>
    <t>Agente sanitario/a</t>
  </si>
  <si>
    <t>Espera para control</t>
  </si>
  <si>
    <t>Peso y talla / mediciones</t>
  </si>
  <si>
    <t>Registro de datos</t>
  </si>
  <si>
    <t>Evaluación nutricional</t>
  </si>
  <si>
    <t>Nutricionista</t>
  </si>
  <si>
    <t>Emisión de orden y receta</t>
  </si>
  <si>
    <t>Pediatra</t>
  </si>
  <si>
    <t>Entrega de suplemento</t>
  </si>
  <si>
    <t>Auxiliar administrativo/a</t>
  </si>
  <si>
    <t>Programación próximo control</t>
  </si>
  <si>
    <t>Cierre administrativo</t>
  </si>
  <si>
    <t>Tiempo total del ciclo</t>
  </si>
  <si>
    <t>minutos</t>
  </si>
  <si>
    <t>Supuesto didáctico: los pasos 1 a 4 son realizados por el/la agente sanitario/a; el paso 5 por la nutricionista; el paso 6 por pediatría; y los pasos 7 a 9 por un/a auxiliar administrativo/a.</t>
  </si>
  <si>
    <t>Gantt de recursos – vista paralela</t>
  </si>
  <si>
    <t>Recurso</t>
  </si>
  <si>
    <t>Detalle / uso</t>
  </si>
  <si>
    <t>Pasos 1 a 4</t>
  </si>
  <si>
    <t>Paso 5</t>
  </si>
  <si>
    <t>Paso 6</t>
  </si>
  <si>
    <t>Pasos 7 a 9</t>
  </si>
  <si>
    <t>Consultorio de nutrición</t>
  </si>
  <si>
    <t>Consultorio de pediatría</t>
  </si>
  <si>
    <t>Balanza y tallímetro</t>
  </si>
  <si>
    <t>Paso 3</t>
  </si>
  <si>
    <t>Sistema / planilla de registro</t>
  </si>
  <si>
    <t>Paso 4</t>
  </si>
  <si>
    <t>Depósito / suplementos</t>
  </si>
  <si>
    <t>Paso 7</t>
  </si>
  <si>
    <t>Sala de espera</t>
  </si>
  <si>
    <t>Paso 2</t>
  </si>
  <si>
    <t>Lectura sugerida: al repetir el proceso para varios niños, la primera concentración de carga aparece en el/la agente sanitario/a; luego el flujo pasa a nutrición y pediatría.</t>
  </si>
  <si>
    <t>Gantt de actividades – Caso CONIN</t>
  </si>
  <si>
    <t>Gantt de recursos – Caso CONIN</t>
  </si>
  <si>
    <t>Supuestos del ejemplo</t>
  </si>
  <si>
    <t>Unidad de flujo</t>
  </si>
  <si>
    <t>1 niño atendido en una visita de control</t>
  </si>
  <si>
    <t>Asignación humana</t>
  </si>
  <si>
    <t>1-4 Agente sanitario/a | 5 Nutricionista | 6 Pediatra | 7-9 Auxiliar administrativo/a</t>
  </si>
  <si>
    <t>Duraciones</t>
  </si>
  <si>
    <t>4, 5, 6, 3, 10, 8, 5, 3 y 2 minutos</t>
  </si>
  <si>
    <t>Duración total</t>
  </si>
  <si>
    <t>Uso sugerido</t>
  </si>
  <si>
    <t>Hoja 'Paralelo': actividades arriba y recursos abajo para leer ambas en simultáneo</t>
  </si>
  <si>
    <t>ESPERA PACIENTE 2</t>
  </si>
  <si>
    <t>TIEMPO MUERTO PEDIATRA</t>
  </si>
  <si>
    <t>Gantt de actividades y recursos – Caso</t>
  </si>
  <si>
    <t>Programación próximo ctrl</t>
  </si>
  <si>
    <t>si sub¡ñl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</si>
</sst>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9"/>
      <name val="Calibri"/>
      <family val="2"/>
    </font>
    <font>
      <b/>
      <sz val="14"/>
      <color rgb="FFFFFFFF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8"/>
      <color rgb="FF000000"/>
      <name val="Aptos Narrow"/>
      <family val="2"/>
    </font>
    <font>
      <b/>
      <sz val="8"/>
      <color rgb="FF000000"/>
      <name val="Aptos Narrow"/>
      <family val="2"/>
    </font>
    <font>
      <sz val="8"/>
      <color theme="1"/>
      <name val="Calibri"/>
      <family val="2"/>
      <scheme val="minor"/>
    </font>
    <font>
      <sz val="7"/>
      <color rgb="FF000000"/>
      <name val="Aptos Narrow"/>
      <family val="2"/>
    </font>
    <font>
      <sz val="7"/>
      <color theme="1"/>
      <name val="Calibri"/>
      <family val="2"/>
      <scheme val="minor"/>
    </font>
    <font>
      <b/>
      <sz val="7"/>
      <color rgb="FF000000"/>
      <name val="Aptos Narrow"/>
      <family val="2"/>
    </font>
  </fonts>
  <fills count="18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D9EAF7"/>
        <bgColor rgb="FF000000"/>
      </patternFill>
    </fill>
    <fill>
      <patternFill patternType="solid">
        <fgColor rgb="FFE2F0D9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rgb="FFB7C3D0"/>
      </left>
      <right style="medium">
        <color rgb="FFB7C3D0"/>
      </right>
      <top style="medium">
        <color rgb="FFB7C3D0"/>
      </top>
      <bottom style="medium">
        <color rgb="FFB7C3D0"/>
      </bottom>
      <diagonal/>
    </border>
    <border>
      <left style="medium">
        <color rgb="FFB7C3D0"/>
      </left>
      <right/>
      <top style="medium">
        <color rgb="FFB7C3D0"/>
      </top>
      <bottom style="medium">
        <color rgb="FFB7C3D0"/>
      </bottom>
      <diagonal/>
    </border>
    <border>
      <left/>
      <right/>
      <top style="medium">
        <color rgb="FFB7C3D0"/>
      </top>
      <bottom style="medium">
        <color rgb="FFB7C3D0"/>
      </bottom>
      <diagonal/>
    </border>
    <border>
      <left/>
      <right style="medium">
        <color rgb="FFB7C3D0"/>
      </right>
      <top style="medium">
        <color rgb="FFB7C3D0"/>
      </top>
      <bottom style="medium">
        <color rgb="FFB7C3D0"/>
      </bottom>
      <diagonal/>
    </border>
    <border>
      <left style="medium">
        <color rgb="FFB7C3D0"/>
      </left>
      <right/>
      <top style="medium">
        <color rgb="FFB7C3D0"/>
      </top>
      <bottom/>
      <diagonal/>
    </border>
    <border>
      <left/>
      <right/>
      <top style="medium">
        <color rgb="FFB7C3D0"/>
      </top>
      <bottom/>
      <diagonal/>
    </border>
    <border>
      <left/>
      <right style="medium">
        <color rgb="FFB7C3D0"/>
      </right>
      <top style="medium">
        <color rgb="FFB7C3D0"/>
      </top>
      <bottom/>
      <diagonal/>
    </border>
    <border>
      <left style="medium">
        <color rgb="FFB7C3D0"/>
      </left>
      <right/>
      <top/>
      <bottom/>
      <diagonal/>
    </border>
    <border>
      <left/>
      <right style="medium">
        <color rgb="FFB7C3D0"/>
      </right>
      <top/>
      <bottom/>
      <diagonal/>
    </border>
    <border>
      <left style="medium">
        <color rgb="FFB7C3D0"/>
      </left>
      <right/>
      <top/>
      <bottom style="medium">
        <color rgb="FFB7C3D0"/>
      </bottom>
      <diagonal/>
    </border>
    <border>
      <left/>
      <right/>
      <top/>
      <bottom style="medium">
        <color rgb="FFB7C3D0"/>
      </bottom>
      <diagonal/>
    </border>
    <border>
      <left/>
      <right style="medium">
        <color rgb="FFB7C3D0"/>
      </right>
      <top/>
      <bottom style="medium">
        <color rgb="FFB7C3D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vertical="top"/>
    </xf>
    <xf numFmtId="0" fontId="5" fillId="0" borderId="0" xfId="0" applyFont="1"/>
    <xf numFmtId="0" fontId="6" fillId="4" borderId="1" xfId="0" applyFont="1" applyFill="1" applyBorder="1" applyAlignment="1">
      <alignment horizontal="center"/>
    </xf>
    <xf numFmtId="0" fontId="5" fillId="6" borderId="0" xfId="0" applyFont="1" applyFill="1"/>
    <xf numFmtId="0" fontId="5" fillId="0" borderId="0" xfId="0" applyFont="1" applyAlignment="1">
      <alignment horizontal="center"/>
    </xf>
    <xf numFmtId="0" fontId="5" fillId="6" borderId="0" xfId="0" applyFont="1" applyFill="1" applyAlignment="1">
      <alignment horizontal="center"/>
    </xf>
    <xf numFmtId="0" fontId="7" fillId="0" borderId="1" xfId="0" applyFont="1" applyBorder="1"/>
    <xf numFmtId="0" fontId="7" fillId="0" borderId="0" xfId="0" applyFont="1"/>
    <xf numFmtId="0" fontId="8" fillId="3" borderId="1" xfId="0" applyFont="1" applyFill="1" applyBorder="1" applyAlignment="1">
      <alignment horizontal="center"/>
    </xf>
    <xf numFmtId="0" fontId="7" fillId="6" borderId="0" xfId="0" applyFont="1" applyFill="1"/>
    <xf numFmtId="0" fontId="9" fillId="0" borderId="0" xfId="0" applyFont="1"/>
    <xf numFmtId="0" fontId="7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12" fillId="3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17" borderId="1" xfId="0" applyFont="1" applyFill="1" applyBorder="1" applyAlignment="1">
      <alignment horizontal="center"/>
    </xf>
    <xf numFmtId="0" fontId="10" fillId="6" borderId="0" xfId="0" applyFont="1" applyFill="1"/>
    <xf numFmtId="0" fontId="10" fillId="9" borderId="1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/>
    </xf>
    <xf numFmtId="0" fontId="10" fillId="12" borderId="1" xfId="0" applyFont="1" applyFill="1" applyBorder="1" applyAlignment="1">
      <alignment horizontal="center"/>
    </xf>
    <xf numFmtId="0" fontId="10" fillId="13" borderId="1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0" fillId="14" borderId="1" xfId="0" applyFont="1" applyFill="1" applyBorder="1" applyAlignment="1">
      <alignment horizontal="center"/>
    </xf>
    <xf numFmtId="0" fontId="10" fillId="16" borderId="1" xfId="0" applyFont="1" applyFill="1" applyBorder="1" applyAlignment="1">
      <alignment horizontal="center"/>
    </xf>
    <xf numFmtId="0" fontId="10" fillId="15" borderId="1" xfId="0" applyFont="1" applyFill="1" applyBorder="1" applyAlignment="1">
      <alignment horizontal="center"/>
    </xf>
    <xf numFmtId="0" fontId="10" fillId="8" borderId="2" xfId="0" applyFont="1" applyFill="1" applyBorder="1" applyAlignment="1">
      <alignment horizontal="center"/>
    </xf>
    <xf numFmtId="0" fontId="10" fillId="8" borderId="3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5" fillId="5" borderId="5" xfId="0" applyFont="1" applyFill="1" applyBorder="1" applyAlignment="1">
      <alignment vertical="center" wrapText="1"/>
    </xf>
    <xf numFmtId="0" fontId="5" fillId="5" borderId="6" xfId="0" applyFont="1" applyFill="1" applyBorder="1" applyAlignment="1">
      <alignment vertical="center" wrapText="1"/>
    </xf>
    <xf numFmtId="0" fontId="5" fillId="5" borderId="7" xfId="0" applyFont="1" applyFill="1" applyBorder="1" applyAlignment="1">
      <alignment vertical="center" wrapText="1"/>
    </xf>
    <xf numFmtId="0" fontId="5" fillId="5" borderId="8" xfId="0" applyFont="1" applyFill="1" applyBorder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5" fillId="5" borderId="9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11" xfId="0" applyFont="1" applyFill="1" applyBorder="1" applyAlignment="1">
      <alignment vertical="center" wrapText="1"/>
    </xf>
    <xf numFmtId="0" fontId="5" fillId="5" borderId="12" xfId="0" applyFont="1" applyFill="1" applyBorder="1" applyAlignment="1">
      <alignment vertical="center" wrapText="1"/>
    </xf>
    <xf numFmtId="0" fontId="4" fillId="2" borderId="0" xfId="0" applyFont="1" applyFill="1" applyAlignment="1">
      <alignment horizontal="center"/>
    </xf>
    <xf numFmtId="0" fontId="11" fillId="8" borderId="2" xfId="0" applyFont="1" applyFill="1" applyBorder="1" applyAlignment="1">
      <alignment horizontal="center"/>
    </xf>
    <xf numFmtId="0" fontId="11" fillId="8" borderId="3" xfId="0" applyFont="1" applyFill="1" applyBorder="1" applyAlignment="1">
      <alignment horizontal="center"/>
    </xf>
    <xf numFmtId="0" fontId="11" fillId="8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38">
    <dxf>
      <fill>
        <patternFill patternType="solid">
          <fgColor rgb="FF92D050"/>
        </patternFill>
      </fill>
    </dxf>
    <dxf>
      <fill>
        <patternFill patternType="solid">
          <fgColor rgb="FF00B0F0"/>
        </patternFill>
      </fill>
    </dxf>
    <dxf>
      <fill>
        <patternFill patternType="solid">
          <fgColor rgb="FF8064A2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9E480E"/>
        </patternFill>
      </fill>
    </dxf>
    <dxf>
      <fill>
        <patternFill patternType="solid">
          <fgColor rgb="FFED7D31"/>
        </patternFill>
      </fill>
    </dxf>
    <dxf>
      <fill>
        <patternFill patternType="solid">
          <fgColor rgb="FFA5A5A5"/>
        </patternFill>
      </fill>
    </dxf>
    <dxf>
      <fill>
        <patternFill patternType="solid">
          <fgColor rgb="FF70AD47"/>
        </patternFill>
      </fill>
    </dxf>
    <dxf>
      <fill>
        <patternFill patternType="solid">
          <fgColor rgb="FFFFD966"/>
        </patternFill>
      </fill>
    </dxf>
    <dxf>
      <fill>
        <patternFill patternType="solid">
          <fgColor rgb="FF5B9BD5"/>
        </patternFill>
      </fill>
    </dxf>
    <dxf>
      <fill>
        <patternFill patternType="solid">
          <fgColor rgb="FF00B0F0"/>
        </patternFill>
      </fill>
    </dxf>
    <dxf>
      <fill>
        <patternFill patternType="solid">
          <fgColor rgb="FF8064A2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9E480E"/>
        </patternFill>
      </fill>
    </dxf>
    <dxf>
      <fill>
        <patternFill patternType="solid">
          <fgColor rgb="FFED7D31"/>
        </patternFill>
      </fill>
    </dxf>
    <dxf>
      <fill>
        <patternFill patternType="solid">
          <fgColor rgb="FFA5A5A5"/>
        </patternFill>
      </fill>
    </dxf>
    <dxf>
      <fill>
        <patternFill patternType="solid">
          <fgColor rgb="FF70AD47"/>
        </patternFill>
      </fill>
    </dxf>
    <dxf>
      <fill>
        <patternFill patternType="solid">
          <fgColor rgb="FFFFD966"/>
        </patternFill>
      </fill>
    </dxf>
    <dxf>
      <fill>
        <patternFill patternType="solid">
          <fgColor rgb="FF5B9BD5"/>
        </patternFill>
      </fill>
    </dxf>
    <dxf>
      <fill>
        <patternFill patternType="solid">
          <fgColor rgb="FF92D050"/>
        </patternFill>
      </fill>
    </dxf>
    <dxf>
      <fill>
        <patternFill patternType="solid">
          <fgColor rgb="FF00B0F0"/>
        </patternFill>
      </fill>
    </dxf>
    <dxf>
      <fill>
        <patternFill patternType="solid">
          <fgColor rgb="FF8064A2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9E480E"/>
        </patternFill>
      </fill>
    </dxf>
    <dxf>
      <fill>
        <patternFill patternType="solid">
          <fgColor rgb="FFED7D31"/>
        </patternFill>
      </fill>
    </dxf>
    <dxf>
      <fill>
        <patternFill patternType="solid">
          <fgColor rgb="FFA5A5A5"/>
        </patternFill>
      </fill>
    </dxf>
    <dxf>
      <fill>
        <patternFill patternType="solid">
          <fgColor rgb="FF70AD47"/>
        </patternFill>
      </fill>
    </dxf>
    <dxf>
      <fill>
        <patternFill patternType="solid">
          <fgColor rgb="FFFFD966"/>
        </patternFill>
      </fill>
    </dxf>
    <dxf>
      <fill>
        <patternFill patternType="solid">
          <fgColor rgb="FF5B9BD5"/>
        </patternFill>
      </fill>
    </dxf>
    <dxf>
      <fill>
        <patternFill patternType="solid">
          <fgColor rgb="FF00B0F0"/>
        </patternFill>
      </fill>
    </dxf>
    <dxf>
      <fill>
        <patternFill patternType="solid">
          <fgColor rgb="FF8064A2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9E480E"/>
        </patternFill>
      </fill>
    </dxf>
    <dxf>
      <fill>
        <patternFill patternType="solid">
          <fgColor rgb="FFED7D31"/>
        </patternFill>
      </fill>
    </dxf>
    <dxf>
      <fill>
        <patternFill patternType="solid">
          <fgColor rgb="FFA5A5A5"/>
        </patternFill>
      </fill>
    </dxf>
    <dxf>
      <fill>
        <patternFill patternType="solid">
          <fgColor rgb="FF70AD47"/>
        </patternFill>
      </fill>
    </dxf>
    <dxf>
      <fill>
        <patternFill patternType="solid">
          <fgColor rgb="FFFFD966"/>
        </patternFill>
      </fill>
    </dxf>
    <dxf>
      <fill>
        <patternFill patternType="solid">
          <fgColor rgb="FF5B9BD5"/>
        </patternFill>
      </fill>
    </dxf>
  </dxfs>
  <tableStyles count="0" defaultTableStyle="TableStyleMedium9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91251-20B7-4125-94D1-25CD6658F251}">
  <dimension ref="A1:DH35"/>
  <sheetViews>
    <sheetView tabSelected="1" zoomScale="85" zoomScaleNormal="85" workbookViewId="0">
      <selection activeCell="F12" sqref="A12:F12"/>
    </sheetView>
  </sheetViews>
  <sheetFormatPr baseColWidth="10" defaultRowHeight="15"/>
  <cols>
    <col min="1" max="1" width="19.85546875" style="3" customWidth="1"/>
    <col min="2" max="2" width="18.85546875" style="15" customWidth="1"/>
    <col min="3" max="3" width="16" hidden="1" customWidth="1"/>
    <col min="4" max="5" width="8.28515625" style="3" customWidth="1"/>
    <col min="6" max="6" width="5.28515625" style="3" customWidth="1"/>
    <col min="7" max="16" width="2.7109375" style="19" bestFit="1" customWidth="1"/>
    <col min="17" max="112" width="3.140625" style="19" customWidth="1"/>
  </cols>
  <sheetData>
    <row r="1" spans="1:112" ht="18">
      <c r="A1" s="37" t="s">
        <v>55</v>
      </c>
      <c r="B1" s="37"/>
      <c r="C1" s="37"/>
      <c r="D1" s="37"/>
      <c r="E1" s="37"/>
      <c r="F1" s="3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</row>
    <row r="2" spans="1:112" ht="15.75" thickBot="1">
      <c r="A2" s="9"/>
      <c r="B2" s="12"/>
      <c r="C2" s="6"/>
      <c r="D2" s="9"/>
      <c r="E2" s="9"/>
      <c r="F2" s="9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</row>
    <row r="3" spans="1:112" ht="15.75" thickBot="1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20">
        <v>0</v>
      </c>
      <c r="H3" s="20">
        <v>1</v>
      </c>
      <c r="I3" s="20">
        <v>2</v>
      </c>
      <c r="J3" s="20">
        <v>3</v>
      </c>
      <c r="K3" s="20">
        <v>4</v>
      </c>
      <c r="L3" s="20">
        <v>5</v>
      </c>
      <c r="M3" s="20">
        <v>6</v>
      </c>
      <c r="N3" s="20">
        <v>7</v>
      </c>
      <c r="O3" s="20">
        <v>8</v>
      </c>
      <c r="P3" s="20">
        <v>9</v>
      </c>
      <c r="Q3" s="20">
        <v>10</v>
      </c>
      <c r="R3" s="20">
        <v>11</v>
      </c>
      <c r="S3" s="20">
        <v>12</v>
      </c>
      <c r="T3" s="20">
        <v>13</v>
      </c>
      <c r="U3" s="20">
        <v>14</v>
      </c>
      <c r="V3" s="20">
        <v>15</v>
      </c>
      <c r="W3" s="20">
        <v>16</v>
      </c>
      <c r="X3" s="20">
        <v>17</v>
      </c>
      <c r="Y3" s="20">
        <v>18</v>
      </c>
      <c r="Z3" s="20">
        <v>19</v>
      </c>
      <c r="AA3" s="20">
        <v>20</v>
      </c>
      <c r="AB3" s="20">
        <v>21</v>
      </c>
      <c r="AC3" s="20">
        <v>22</v>
      </c>
      <c r="AD3" s="20">
        <v>23</v>
      </c>
      <c r="AE3" s="20">
        <v>24</v>
      </c>
      <c r="AF3" s="20">
        <v>25</v>
      </c>
      <c r="AG3" s="20">
        <v>26</v>
      </c>
      <c r="AH3" s="20">
        <v>27</v>
      </c>
      <c r="AI3" s="20">
        <v>28</v>
      </c>
      <c r="AJ3" s="20">
        <v>29</v>
      </c>
      <c r="AK3" s="20">
        <v>30</v>
      </c>
      <c r="AL3" s="20">
        <v>31</v>
      </c>
      <c r="AM3" s="20">
        <v>32</v>
      </c>
      <c r="AN3" s="20">
        <v>33</v>
      </c>
      <c r="AO3" s="20">
        <v>34</v>
      </c>
      <c r="AP3" s="20">
        <v>35</v>
      </c>
      <c r="AQ3" s="20">
        <v>36</v>
      </c>
      <c r="AR3" s="20">
        <v>37</v>
      </c>
      <c r="AS3" s="20">
        <v>38</v>
      </c>
      <c r="AT3" s="20">
        <v>39</v>
      </c>
      <c r="AU3" s="20">
        <v>40</v>
      </c>
      <c r="AV3" s="20">
        <v>41</v>
      </c>
      <c r="AW3" s="20">
        <v>42</v>
      </c>
      <c r="AX3" s="20">
        <v>43</v>
      </c>
      <c r="AY3" s="20">
        <v>44</v>
      </c>
      <c r="AZ3" s="20">
        <v>45</v>
      </c>
      <c r="BA3" s="20">
        <v>46</v>
      </c>
      <c r="BB3" s="20">
        <v>47</v>
      </c>
      <c r="BC3" s="20">
        <v>48</v>
      </c>
      <c r="BD3" s="20">
        <v>49</v>
      </c>
      <c r="BE3" s="20">
        <v>50</v>
      </c>
      <c r="BF3" s="20">
        <v>51</v>
      </c>
      <c r="BG3" s="20">
        <v>52</v>
      </c>
      <c r="BH3" s="20">
        <v>53</v>
      </c>
      <c r="BI3" s="20">
        <v>54</v>
      </c>
      <c r="BJ3" s="20">
        <v>55</v>
      </c>
      <c r="BK3" s="20">
        <v>56</v>
      </c>
      <c r="BL3" s="20">
        <v>57</v>
      </c>
      <c r="BM3" s="20">
        <v>58</v>
      </c>
      <c r="BN3" s="20">
        <v>59</v>
      </c>
      <c r="BO3" s="20">
        <v>60</v>
      </c>
      <c r="BP3" s="20">
        <v>61</v>
      </c>
      <c r="BQ3" s="20">
        <v>62</v>
      </c>
      <c r="BR3" s="20">
        <v>63</v>
      </c>
      <c r="BS3" s="20">
        <v>64</v>
      </c>
      <c r="BT3" s="20">
        <v>65</v>
      </c>
      <c r="BU3" s="20">
        <v>66</v>
      </c>
      <c r="BV3" s="20">
        <v>67</v>
      </c>
      <c r="BW3" s="20">
        <v>68</v>
      </c>
      <c r="BX3" s="20">
        <v>69</v>
      </c>
      <c r="BY3" s="20">
        <v>70</v>
      </c>
      <c r="BZ3" s="20">
        <v>71</v>
      </c>
      <c r="CA3" s="20">
        <v>72</v>
      </c>
      <c r="CB3" s="20">
        <v>73</v>
      </c>
      <c r="CC3" s="20">
        <v>74</v>
      </c>
      <c r="CD3" s="20">
        <v>75</v>
      </c>
      <c r="CE3" s="20">
        <v>76</v>
      </c>
      <c r="CF3" s="20">
        <v>77</v>
      </c>
      <c r="CG3" s="20">
        <v>78</v>
      </c>
      <c r="CH3" s="20">
        <v>79</v>
      </c>
      <c r="CI3" s="20">
        <v>80</v>
      </c>
      <c r="CJ3" s="20">
        <v>81</v>
      </c>
      <c r="CK3" s="20">
        <v>82</v>
      </c>
      <c r="CL3" s="20">
        <v>83</v>
      </c>
      <c r="CM3" s="20">
        <v>84</v>
      </c>
      <c r="CN3" s="20">
        <v>85</v>
      </c>
      <c r="CO3" s="20">
        <v>86</v>
      </c>
      <c r="CP3" s="20">
        <v>87</v>
      </c>
      <c r="CQ3" s="20">
        <v>88</v>
      </c>
      <c r="CR3" s="20">
        <v>89</v>
      </c>
      <c r="CS3" s="20">
        <v>90</v>
      </c>
      <c r="CT3" s="20">
        <v>91</v>
      </c>
      <c r="CU3" s="20">
        <v>92</v>
      </c>
      <c r="CV3" s="20">
        <v>93</v>
      </c>
      <c r="CW3" s="20">
        <v>94</v>
      </c>
      <c r="CX3" s="20">
        <v>95</v>
      </c>
      <c r="CY3" s="20">
        <v>96</v>
      </c>
      <c r="CZ3" s="20">
        <v>97</v>
      </c>
      <c r="DA3" s="20">
        <v>98</v>
      </c>
      <c r="DB3" s="20">
        <v>99</v>
      </c>
      <c r="DC3" s="20">
        <v>100</v>
      </c>
      <c r="DD3" s="20">
        <v>101</v>
      </c>
      <c r="DE3" s="20">
        <v>102</v>
      </c>
      <c r="DF3" s="20">
        <v>103</v>
      </c>
      <c r="DG3" s="20">
        <v>104</v>
      </c>
      <c r="DH3" s="20">
        <v>105</v>
      </c>
    </row>
    <row r="4" spans="1:112" ht="15.75" thickBot="1">
      <c r="A4" s="16">
        <v>1</v>
      </c>
      <c r="B4" s="11" t="s">
        <v>7</v>
      </c>
      <c r="C4" s="11" t="s">
        <v>8</v>
      </c>
      <c r="D4" s="16">
        <v>0</v>
      </c>
      <c r="E4" s="16">
        <v>4</v>
      </c>
      <c r="F4" s="16">
        <v>4</v>
      </c>
      <c r="G4" s="21">
        <v>1</v>
      </c>
      <c r="H4" s="21">
        <v>1</v>
      </c>
      <c r="I4" s="21">
        <v>1</v>
      </c>
      <c r="J4" s="21">
        <v>1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</row>
    <row r="5" spans="1:112" ht="15.75" thickBot="1">
      <c r="A5" s="16">
        <v>2</v>
      </c>
      <c r="B5" s="11" t="s">
        <v>9</v>
      </c>
      <c r="C5" s="11" t="s">
        <v>8</v>
      </c>
      <c r="D5" s="16">
        <v>4</v>
      </c>
      <c r="E5" s="16">
        <v>5</v>
      </c>
      <c r="F5" s="16">
        <v>9</v>
      </c>
      <c r="G5" s="23"/>
      <c r="H5" s="23"/>
      <c r="I5" s="23"/>
      <c r="J5" s="23"/>
      <c r="K5" s="24">
        <v>1</v>
      </c>
      <c r="L5" s="24">
        <v>1</v>
      </c>
      <c r="M5" s="24">
        <v>1</v>
      </c>
      <c r="N5" s="24">
        <v>1</v>
      </c>
      <c r="O5" s="24">
        <v>1</v>
      </c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</row>
    <row r="6" spans="1:112" ht="15.75" thickBot="1">
      <c r="A6" s="16">
        <v>3</v>
      </c>
      <c r="B6" s="11" t="s">
        <v>10</v>
      </c>
      <c r="C6" s="11" t="s">
        <v>8</v>
      </c>
      <c r="D6" s="16">
        <v>9</v>
      </c>
      <c r="E6" s="16">
        <v>6</v>
      </c>
      <c r="F6" s="16">
        <v>15</v>
      </c>
      <c r="G6" s="23"/>
      <c r="H6" s="23"/>
      <c r="I6" s="23"/>
      <c r="J6" s="23"/>
      <c r="K6" s="23"/>
      <c r="L6" s="23"/>
      <c r="M6" s="23"/>
      <c r="N6" s="23"/>
      <c r="O6" s="23"/>
      <c r="P6" s="24">
        <v>1</v>
      </c>
      <c r="Q6" s="24">
        <v>1</v>
      </c>
      <c r="R6" s="24">
        <v>1</v>
      </c>
      <c r="S6" s="24">
        <v>1</v>
      </c>
      <c r="T6" s="24">
        <v>1</v>
      </c>
      <c r="U6" s="24">
        <v>1</v>
      </c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</row>
    <row r="7" spans="1:112" ht="15.75" thickBot="1">
      <c r="A7" s="16">
        <v>4</v>
      </c>
      <c r="B7" s="11" t="s">
        <v>11</v>
      </c>
      <c r="C7" s="11" t="s">
        <v>8</v>
      </c>
      <c r="D7" s="16">
        <v>15</v>
      </c>
      <c r="E7" s="16">
        <v>3</v>
      </c>
      <c r="F7" s="16">
        <v>18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4">
        <v>1</v>
      </c>
      <c r="W7" s="24">
        <v>1</v>
      </c>
      <c r="X7" s="24">
        <v>1</v>
      </c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</row>
    <row r="8" spans="1:112" ht="15.75" thickBot="1">
      <c r="A8" s="16">
        <v>5</v>
      </c>
      <c r="B8" s="11" t="s">
        <v>12</v>
      </c>
      <c r="C8" s="11" t="s">
        <v>13</v>
      </c>
      <c r="D8" s="16">
        <v>18</v>
      </c>
      <c r="E8" s="16">
        <v>10</v>
      </c>
      <c r="F8" s="16">
        <v>28</v>
      </c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4">
        <v>1</v>
      </c>
      <c r="Z8" s="24">
        <v>1</v>
      </c>
      <c r="AA8" s="24">
        <v>1</v>
      </c>
      <c r="AB8" s="24">
        <v>1</v>
      </c>
      <c r="AC8" s="24">
        <v>1</v>
      </c>
      <c r="AD8" s="24">
        <v>1</v>
      </c>
      <c r="AE8" s="24">
        <v>1</v>
      </c>
      <c r="AF8" s="24">
        <v>1</v>
      </c>
      <c r="AG8" s="24">
        <v>1</v>
      </c>
      <c r="AH8" s="24">
        <v>1</v>
      </c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</row>
    <row r="9" spans="1:112" ht="15.75" thickBot="1">
      <c r="A9" s="16">
        <v>6</v>
      </c>
      <c r="B9" s="11" t="s">
        <v>14</v>
      </c>
      <c r="C9" s="11" t="s">
        <v>15</v>
      </c>
      <c r="D9" s="16">
        <v>28</v>
      </c>
      <c r="E9" s="16">
        <v>8</v>
      </c>
      <c r="F9" s="16">
        <v>36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4">
        <v>1</v>
      </c>
      <c r="AJ9" s="24">
        <v>1</v>
      </c>
      <c r="AK9" s="24">
        <v>1</v>
      </c>
      <c r="AL9" s="24">
        <v>1</v>
      </c>
      <c r="AM9" s="24">
        <v>1</v>
      </c>
      <c r="AN9" s="24">
        <v>1</v>
      </c>
      <c r="AO9" s="24">
        <v>1</v>
      </c>
      <c r="AP9" s="24">
        <v>1</v>
      </c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</row>
    <row r="10" spans="1:112" ht="15.75" thickBot="1">
      <c r="A10" s="16">
        <v>7</v>
      </c>
      <c r="B10" s="11" t="s">
        <v>16</v>
      </c>
      <c r="C10" s="11" t="s">
        <v>17</v>
      </c>
      <c r="D10" s="16">
        <v>36</v>
      </c>
      <c r="E10" s="16">
        <v>5</v>
      </c>
      <c r="F10" s="16">
        <v>41</v>
      </c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4">
        <v>1</v>
      </c>
      <c r="AR10" s="24">
        <v>1</v>
      </c>
      <c r="AS10" s="24">
        <v>1</v>
      </c>
      <c r="AT10" s="24">
        <v>1</v>
      </c>
      <c r="AU10" s="24">
        <v>1</v>
      </c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</row>
    <row r="11" spans="1:112" ht="15.75" thickBot="1">
      <c r="A11" s="16">
        <v>8</v>
      </c>
      <c r="B11" s="11" t="s">
        <v>56</v>
      </c>
      <c r="C11" s="11" t="s">
        <v>17</v>
      </c>
      <c r="D11" s="16">
        <v>41</v>
      </c>
      <c r="E11" s="16">
        <v>3</v>
      </c>
      <c r="F11" s="16">
        <v>44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4">
        <v>1</v>
      </c>
      <c r="AW11" s="24">
        <v>1</v>
      </c>
      <c r="AX11" s="24">
        <v>1</v>
      </c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</row>
    <row r="12" spans="1:112" ht="15.75" thickBot="1">
      <c r="A12" s="16">
        <v>9</v>
      </c>
      <c r="B12" s="11" t="s">
        <v>19</v>
      </c>
      <c r="C12" s="11" t="s">
        <v>17</v>
      </c>
      <c r="D12" s="16">
        <v>44</v>
      </c>
      <c r="E12" s="16">
        <v>2</v>
      </c>
      <c r="F12" s="23" t="s">
        <v>57</v>
      </c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4">
        <v>1</v>
      </c>
      <c r="AZ12" s="24">
        <v>1</v>
      </c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</row>
    <row r="13" spans="1:112" ht="14.25" customHeight="1" thickBot="1">
      <c r="A13" s="9"/>
      <c r="B13" s="12"/>
      <c r="C13" s="6"/>
      <c r="D13" s="9"/>
      <c r="E13" s="9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</row>
    <row r="14" spans="1:112" ht="15.75" thickBot="1">
      <c r="A14" s="38" t="s">
        <v>20</v>
      </c>
      <c r="B14" s="39"/>
      <c r="C14" s="40"/>
      <c r="D14" s="7">
        <v>46</v>
      </c>
      <c r="E14" s="7" t="s">
        <v>21</v>
      </c>
      <c r="F14" s="9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</row>
    <row r="15" spans="1:112">
      <c r="A15" s="9"/>
      <c r="B15" s="12"/>
      <c r="C15" s="6"/>
      <c r="D15" s="9"/>
      <c r="E15" s="9"/>
      <c r="F15" s="9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</row>
    <row r="16" spans="1:112" hidden="1">
      <c r="A16" s="41" t="s">
        <v>22</v>
      </c>
      <c r="B16" s="42"/>
      <c r="C16" s="42"/>
      <c r="D16" s="42"/>
      <c r="E16" s="42"/>
      <c r="F16" s="43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</row>
    <row r="17" spans="1:112" hidden="1">
      <c r="A17" s="44"/>
      <c r="B17" s="45"/>
      <c r="C17" s="45"/>
      <c r="D17" s="45"/>
      <c r="E17" s="45"/>
      <c r="F17" s="46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</row>
    <row r="18" spans="1:112" ht="15.75" hidden="1" thickBot="1">
      <c r="A18" s="47"/>
      <c r="B18" s="48"/>
      <c r="C18" s="48"/>
      <c r="D18" s="48"/>
      <c r="E18" s="48"/>
      <c r="F18" s="49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</row>
    <row r="19" spans="1:112" hidden="1">
      <c r="A19" s="9"/>
      <c r="B19" s="12"/>
      <c r="C19" s="6"/>
      <c r="D19" s="9"/>
      <c r="E19" s="9"/>
      <c r="F19" s="9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</row>
    <row r="20" spans="1:112" hidden="1">
      <c r="A20" s="10"/>
      <c r="B20" s="14"/>
      <c r="C20" s="8"/>
      <c r="D20" s="10"/>
      <c r="E20" s="10"/>
      <c r="F20" s="10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</row>
    <row r="21" spans="1:112" ht="18">
      <c r="A21" s="50" t="s">
        <v>23</v>
      </c>
      <c r="B21" s="50"/>
      <c r="C21" s="50"/>
      <c r="D21" s="50"/>
      <c r="E21" s="50"/>
      <c r="F21" s="9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</row>
    <row r="22" spans="1:112" ht="15.75" thickBot="1">
      <c r="A22" s="9"/>
      <c r="B22" s="12"/>
      <c r="C22" s="6"/>
      <c r="D22" s="9"/>
      <c r="E22" s="9"/>
      <c r="F22" s="9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</row>
    <row r="23" spans="1:112" ht="15.75" thickBot="1">
      <c r="A23" s="13" t="s">
        <v>24</v>
      </c>
      <c r="B23" s="13" t="s">
        <v>25</v>
      </c>
      <c r="C23" s="13" t="s">
        <v>4</v>
      </c>
      <c r="D23" s="13" t="s">
        <v>5</v>
      </c>
      <c r="E23" s="13" t="s">
        <v>6</v>
      </c>
      <c r="F23" s="9"/>
      <c r="G23" s="20">
        <v>0</v>
      </c>
      <c r="H23" s="20">
        <v>1</v>
      </c>
      <c r="I23" s="20">
        <v>2</v>
      </c>
      <c r="J23" s="20">
        <v>3</v>
      </c>
      <c r="K23" s="20">
        <v>4</v>
      </c>
      <c r="L23" s="20">
        <v>5</v>
      </c>
      <c r="M23" s="20">
        <v>6</v>
      </c>
      <c r="N23" s="20">
        <v>7</v>
      </c>
      <c r="O23" s="20">
        <v>8</v>
      </c>
      <c r="P23" s="20">
        <v>9</v>
      </c>
      <c r="Q23" s="20">
        <v>10</v>
      </c>
      <c r="R23" s="20">
        <v>11</v>
      </c>
      <c r="S23" s="20">
        <v>12</v>
      </c>
      <c r="T23" s="20">
        <v>13</v>
      </c>
      <c r="U23" s="20">
        <v>14</v>
      </c>
      <c r="V23" s="20">
        <v>15</v>
      </c>
      <c r="W23" s="20">
        <v>16</v>
      </c>
      <c r="X23" s="20">
        <v>17</v>
      </c>
      <c r="Y23" s="20">
        <v>18</v>
      </c>
      <c r="Z23" s="20">
        <v>19</v>
      </c>
      <c r="AA23" s="20">
        <v>20</v>
      </c>
      <c r="AB23" s="20">
        <v>21</v>
      </c>
      <c r="AC23" s="20">
        <v>22</v>
      </c>
      <c r="AD23" s="20">
        <v>23</v>
      </c>
      <c r="AE23" s="20">
        <v>24</v>
      </c>
      <c r="AF23" s="20">
        <v>25</v>
      </c>
      <c r="AG23" s="20">
        <v>26</v>
      </c>
      <c r="AH23" s="20">
        <v>27</v>
      </c>
      <c r="AI23" s="20">
        <v>28</v>
      </c>
      <c r="AJ23" s="20">
        <v>29</v>
      </c>
      <c r="AK23" s="20">
        <v>30</v>
      </c>
      <c r="AL23" s="20">
        <v>31</v>
      </c>
      <c r="AM23" s="20">
        <v>32</v>
      </c>
      <c r="AN23" s="20">
        <v>33</v>
      </c>
      <c r="AO23" s="20">
        <v>34</v>
      </c>
      <c r="AP23" s="20">
        <v>35</v>
      </c>
      <c r="AQ23" s="20">
        <v>36</v>
      </c>
      <c r="AR23" s="20">
        <v>37</v>
      </c>
      <c r="AS23" s="20">
        <v>38</v>
      </c>
      <c r="AT23" s="20">
        <v>39</v>
      </c>
      <c r="AU23" s="20">
        <v>40</v>
      </c>
      <c r="AV23" s="20">
        <v>41</v>
      </c>
      <c r="AW23" s="20">
        <v>42</v>
      </c>
      <c r="AX23" s="20">
        <v>43</v>
      </c>
      <c r="AY23" s="20">
        <v>44</v>
      </c>
      <c r="AZ23" s="20">
        <v>45</v>
      </c>
      <c r="BA23" s="20">
        <v>46</v>
      </c>
      <c r="BB23" s="20">
        <v>47</v>
      </c>
      <c r="BC23" s="20">
        <v>48</v>
      </c>
      <c r="BD23" s="20">
        <v>49</v>
      </c>
      <c r="BE23" s="20">
        <v>50</v>
      </c>
      <c r="BF23" s="20">
        <v>51</v>
      </c>
      <c r="BG23" s="20">
        <v>52</v>
      </c>
      <c r="BH23" s="20">
        <v>53</v>
      </c>
      <c r="BI23" s="20">
        <v>54</v>
      </c>
      <c r="BJ23" s="20">
        <v>55</v>
      </c>
      <c r="BK23" s="20">
        <v>56</v>
      </c>
      <c r="BL23" s="20">
        <v>57</v>
      </c>
      <c r="BM23" s="20">
        <v>58</v>
      </c>
      <c r="BN23" s="20">
        <v>59</v>
      </c>
      <c r="BO23" s="20">
        <v>60</v>
      </c>
      <c r="BP23" s="20">
        <v>61</v>
      </c>
      <c r="BQ23" s="20">
        <v>62</v>
      </c>
      <c r="BR23" s="20">
        <v>63</v>
      </c>
      <c r="BS23" s="20">
        <v>64</v>
      </c>
      <c r="BT23" s="20">
        <v>65</v>
      </c>
      <c r="BU23" s="20">
        <v>66</v>
      </c>
      <c r="BV23" s="20">
        <v>67</v>
      </c>
      <c r="BW23" s="20">
        <v>68</v>
      </c>
      <c r="BX23" s="20">
        <v>69</v>
      </c>
      <c r="BY23" s="20">
        <v>70</v>
      </c>
      <c r="BZ23" s="20">
        <v>71</v>
      </c>
      <c r="CA23" s="20">
        <v>72</v>
      </c>
      <c r="CB23" s="20">
        <v>73</v>
      </c>
      <c r="CC23" s="20">
        <v>74</v>
      </c>
      <c r="CD23" s="20">
        <v>75</v>
      </c>
      <c r="CE23" s="20">
        <v>76</v>
      </c>
      <c r="CF23" s="20">
        <v>77</v>
      </c>
      <c r="CG23" s="20">
        <v>78</v>
      </c>
      <c r="CH23" s="20">
        <v>79</v>
      </c>
      <c r="CI23" s="20">
        <v>80</v>
      </c>
      <c r="CJ23" s="20">
        <v>81</v>
      </c>
      <c r="CK23" s="20">
        <v>82</v>
      </c>
      <c r="CL23" s="20">
        <v>83</v>
      </c>
      <c r="CM23" s="20">
        <v>84</v>
      </c>
      <c r="CN23" s="20">
        <v>85</v>
      </c>
      <c r="CO23" s="20">
        <v>86</v>
      </c>
      <c r="CP23" s="20">
        <v>87</v>
      </c>
      <c r="CQ23" s="20">
        <v>88</v>
      </c>
      <c r="CR23" s="20">
        <v>89</v>
      </c>
      <c r="CS23" s="20">
        <v>90</v>
      </c>
      <c r="CT23" s="20">
        <v>91</v>
      </c>
      <c r="CU23" s="20">
        <v>92</v>
      </c>
      <c r="CV23" s="20">
        <v>93</v>
      </c>
      <c r="CW23" s="20">
        <v>94</v>
      </c>
      <c r="CX23" s="20">
        <v>95</v>
      </c>
      <c r="CY23" s="20">
        <v>96</v>
      </c>
      <c r="CZ23" s="20">
        <v>97</v>
      </c>
      <c r="DA23" s="20">
        <v>98</v>
      </c>
      <c r="DB23" s="20">
        <v>99</v>
      </c>
      <c r="DC23" s="20">
        <v>100</v>
      </c>
      <c r="DD23" s="20">
        <v>101</v>
      </c>
      <c r="DE23" s="20">
        <v>102</v>
      </c>
      <c r="DF23" s="20">
        <v>103</v>
      </c>
      <c r="DG23" s="20">
        <v>104</v>
      </c>
      <c r="DH23" s="20">
        <v>105</v>
      </c>
    </row>
    <row r="24" spans="1:112" ht="15.75" thickBot="1">
      <c r="A24" s="16" t="s">
        <v>8</v>
      </c>
      <c r="B24" s="16" t="s">
        <v>26</v>
      </c>
      <c r="C24" s="16">
        <v>0</v>
      </c>
      <c r="D24" s="16">
        <v>18</v>
      </c>
      <c r="E24" s="16">
        <v>18</v>
      </c>
      <c r="F24" s="9"/>
      <c r="G24" s="26">
        <v>1</v>
      </c>
      <c r="H24" s="26">
        <v>1</v>
      </c>
      <c r="I24" s="26">
        <v>1</v>
      </c>
      <c r="J24" s="26">
        <v>1</v>
      </c>
      <c r="K24" s="26">
        <v>1</v>
      </c>
      <c r="L24" s="26">
        <v>1</v>
      </c>
      <c r="M24" s="26">
        <v>1</v>
      </c>
      <c r="N24" s="26">
        <v>1</v>
      </c>
      <c r="O24" s="26">
        <v>1</v>
      </c>
      <c r="P24" s="26">
        <v>1</v>
      </c>
      <c r="Q24" s="26">
        <v>1</v>
      </c>
      <c r="R24" s="26">
        <v>1</v>
      </c>
      <c r="S24" s="26">
        <v>1</v>
      </c>
      <c r="T24" s="26">
        <v>1</v>
      </c>
      <c r="U24" s="26">
        <v>1</v>
      </c>
      <c r="V24" s="26">
        <v>1</v>
      </c>
      <c r="W24" s="26">
        <v>1</v>
      </c>
      <c r="X24" s="26">
        <v>1</v>
      </c>
      <c r="Y24" s="22">
        <v>2</v>
      </c>
      <c r="Z24" s="22">
        <v>2</v>
      </c>
      <c r="AA24" s="22">
        <v>2</v>
      </c>
      <c r="AB24" s="22">
        <v>2</v>
      </c>
      <c r="AC24" s="22">
        <v>2</v>
      </c>
      <c r="AD24" s="22">
        <v>2</v>
      </c>
      <c r="AE24" s="22">
        <v>2</v>
      </c>
      <c r="AF24" s="22">
        <v>2</v>
      </c>
      <c r="AG24" s="22">
        <v>2</v>
      </c>
      <c r="AH24" s="22">
        <v>2</v>
      </c>
      <c r="AI24" s="22">
        <v>2</v>
      </c>
      <c r="AJ24" s="22">
        <v>2</v>
      </c>
      <c r="AK24" s="22">
        <v>2</v>
      </c>
      <c r="AL24" s="22">
        <v>2</v>
      </c>
      <c r="AM24" s="22">
        <v>2</v>
      </c>
      <c r="AN24" s="22">
        <v>2</v>
      </c>
      <c r="AO24" s="22">
        <v>2</v>
      </c>
      <c r="AP24" s="22">
        <v>2</v>
      </c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</row>
    <row r="25" spans="1:112" ht="15.75" thickBot="1">
      <c r="A25" s="16" t="s">
        <v>13</v>
      </c>
      <c r="B25" s="16" t="s">
        <v>27</v>
      </c>
      <c r="C25" s="16">
        <v>18</v>
      </c>
      <c r="D25" s="16">
        <v>10</v>
      </c>
      <c r="E25" s="16">
        <v>28</v>
      </c>
      <c r="F25" s="9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7">
        <v>1</v>
      </c>
      <c r="Z25" s="27">
        <v>1</v>
      </c>
      <c r="AA25" s="27">
        <v>1</v>
      </c>
      <c r="AB25" s="27">
        <v>1</v>
      </c>
      <c r="AC25" s="27">
        <v>1</v>
      </c>
      <c r="AD25" s="27">
        <v>1</v>
      </c>
      <c r="AE25" s="27">
        <v>1</v>
      </c>
      <c r="AF25" s="27">
        <v>1</v>
      </c>
      <c r="AG25" s="27">
        <v>1</v>
      </c>
      <c r="AH25" s="27">
        <v>1</v>
      </c>
      <c r="AI25" s="51" t="s">
        <v>53</v>
      </c>
      <c r="AJ25" s="52"/>
      <c r="AK25" s="52"/>
      <c r="AL25" s="52"/>
      <c r="AM25" s="52"/>
      <c r="AN25" s="52"/>
      <c r="AO25" s="52"/>
      <c r="AP25" s="53"/>
      <c r="AQ25" s="22">
        <v>2</v>
      </c>
      <c r="AR25" s="22">
        <v>2</v>
      </c>
      <c r="AS25" s="22">
        <v>2</v>
      </c>
      <c r="AT25" s="22">
        <v>2</v>
      </c>
      <c r="AU25" s="22">
        <v>2</v>
      </c>
      <c r="AV25" s="22">
        <v>2</v>
      </c>
      <c r="AW25" s="22">
        <v>2</v>
      </c>
      <c r="AX25" s="22">
        <v>2</v>
      </c>
      <c r="AY25" s="22">
        <v>2</v>
      </c>
      <c r="AZ25" s="22">
        <v>2</v>
      </c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</row>
    <row r="26" spans="1:112" ht="15.75" thickBot="1">
      <c r="A26" s="16" t="s">
        <v>15</v>
      </c>
      <c r="B26" s="16" t="s">
        <v>28</v>
      </c>
      <c r="C26" s="16">
        <v>28</v>
      </c>
      <c r="D26" s="16">
        <v>8</v>
      </c>
      <c r="E26" s="16">
        <v>36</v>
      </c>
      <c r="F26" s="9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8">
        <v>1</v>
      </c>
      <c r="AJ26" s="28">
        <v>1</v>
      </c>
      <c r="AK26" s="28">
        <v>1</v>
      </c>
      <c r="AL26" s="28">
        <v>1</v>
      </c>
      <c r="AM26" s="28">
        <v>1</v>
      </c>
      <c r="AN26" s="28">
        <v>1</v>
      </c>
      <c r="AO26" s="28">
        <v>1</v>
      </c>
      <c r="AP26" s="28">
        <v>1</v>
      </c>
      <c r="AQ26" s="34" t="s">
        <v>54</v>
      </c>
      <c r="AR26" s="35"/>
      <c r="AS26" s="35"/>
      <c r="AT26" s="35"/>
      <c r="AU26" s="35"/>
      <c r="AV26" s="35"/>
      <c r="AW26" s="35"/>
      <c r="AX26" s="35"/>
      <c r="AY26" s="35"/>
      <c r="AZ26" s="36"/>
      <c r="BA26" s="22">
        <v>2</v>
      </c>
      <c r="BB26" s="22">
        <v>2</v>
      </c>
      <c r="BC26" s="22">
        <v>2</v>
      </c>
      <c r="BD26" s="22">
        <v>2</v>
      </c>
      <c r="BE26" s="22">
        <v>2</v>
      </c>
      <c r="BF26" s="22">
        <v>2</v>
      </c>
      <c r="BG26" s="22">
        <v>2</v>
      </c>
      <c r="BH26" s="22">
        <v>2</v>
      </c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</row>
    <row r="27" spans="1:112" ht="15.75" thickBot="1">
      <c r="A27" s="16" t="s">
        <v>17</v>
      </c>
      <c r="B27" s="16" t="s">
        <v>29</v>
      </c>
      <c r="C27" s="16">
        <v>36</v>
      </c>
      <c r="D27" s="16">
        <v>10</v>
      </c>
      <c r="E27" s="16">
        <v>46</v>
      </c>
      <c r="F27" s="9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9">
        <v>1</v>
      </c>
      <c r="AR27" s="29">
        <v>1</v>
      </c>
      <c r="AS27" s="29">
        <v>1</v>
      </c>
      <c r="AT27" s="29">
        <v>1</v>
      </c>
      <c r="AU27" s="29">
        <v>1</v>
      </c>
      <c r="AV27" s="29">
        <v>1</v>
      </c>
      <c r="AW27" s="29">
        <v>1</v>
      </c>
      <c r="AX27" s="29">
        <v>1</v>
      </c>
      <c r="AY27" s="29">
        <v>1</v>
      </c>
      <c r="AZ27" s="29">
        <v>1</v>
      </c>
      <c r="BA27" s="23"/>
      <c r="BB27" s="23"/>
      <c r="BC27" s="23"/>
      <c r="BD27" s="23"/>
      <c r="BE27" s="23"/>
      <c r="BF27" s="23"/>
      <c r="BG27" s="23"/>
      <c r="BH27" s="23"/>
      <c r="BI27" s="22">
        <v>2</v>
      </c>
      <c r="BJ27" s="22">
        <v>2</v>
      </c>
      <c r="BK27" s="22">
        <v>2</v>
      </c>
      <c r="BL27" s="22">
        <v>2</v>
      </c>
      <c r="BM27" s="22">
        <v>2</v>
      </c>
      <c r="BN27" s="22">
        <v>2</v>
      </c>
      <c r="BO27" s="22">
        <v>2</v>
      </c>
      <c r="BP27" s="22">
        <v>2</v>
      </c>
      <c r="BQ27" s="22">
        <v>2</v>
      </c>
      <c r="BR27" s="22">
        <v>2</v>
      </c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</row>
    <row r="28" spans="1:112" ht="15.75" hidden="1" thickBot="1">
      <c r="A28" s="16" t="s">
        <v>30</v>
      </c>
      <c r="B28" s="16" t="s">
        <v>27</v>
      </c>
      <c r="C28" s="16">
        <v>18</v>
      </c>
      <c r="D28" s="16">
        <v>10</v>
      </c>
      <c r="E28" s="16">
        <v>28</v>
      </c>
      <c r="F28" s="9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7">
        <v>1</v>
      </c>
      <c r="Z28" s="27">
        <v>1</v>
      </c>
      <c r="AA28" s="27">
        <v>1</v>
      </c>
      <c r="AB28" s="27">
        <v>1</v>
      </c>
      <c r="AC28" s="27">
        <v>1</v>
      </c>
      <c r="AD28" s="27">
        <v>1</v>
      </c>
      <c r="AE28" s="27">
        <v>1</v>
      </c>
      <c r="AF28" s="27">
        <v>1</v>
      </c>
      <c r="AG28" s="27">
        <v>1</v>
      </c>
      <c r="AH28" s="27">
        <v>1</v>
      </c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</row>
    <row r="29" spans="1:112" ht="15.75" hidden="1" thickBot="1">
      <c r="A29" s="16" t="s">
        <v>31</v>
      </c>
      <c r="B29" s="16" t="s">
        <v>28</v>
      </c>
      <c r="C29" s="16">
        <v>28</v>
      </c>
      <c r="D29" s="16">
        <v>8</v>
      </c>
      <c r="E29" s="16">
        <v>36</v>
      </c>
      <c r="F29" s="9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8">
        <v>1</v>
      </c>
      <c r="AJ29" s="28">
        <v>1</v>
      </c>
      <c r="AK29" s="28">
        <v>1</v>
      </c>
      <c r="AL29" s="28">
        <v>1</v>
      </c>
      <c r="AM29" s="28">
        <v>1</v>
      </c>
      <c r="AN29" s="28">
        <v>1</v>
      </c>
      <c r="AO29" s="28">
        <v>1</v>
      </c>
      <c r="AP29" s="28">
        <v>1</v>
      </c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</row>
    <row r="30" spans="1:112" ht="15.75" hidden="1" thickBot="1">
      <c r="A30" s="16" t="s">
        <v>32</v>
      </c>
      <c r="B30" s="16" t="s">
        <v>33</v>
      </c>
      <c r="C30" s="16">
        <v>9</v>
      </c>
      <c r="D30" s="16">
        <v>6</v>
      </c>
      <c r="E30" s="16">
        <v>15</v>
      </c>
      <c r="F30" s="9"/>
      <c r="G30" s="23"/>
      <c r="H30" s="23"/>
      <c r="I30" s="23"/>
      <c r="J30" s="23"/>
      <c r="K30" s="23"/>
      <c r="L30" s="23"/>
      <c r="M30" s="23"/>
      <c r="N30" s="23"/>
      <c r="O30" s="23"/>
      <c r="P30" s="30">
        <v>1</v>
      </c>
      <c r="Q30" s="30">
        <v>1</v>
      </c>
      <c r="R30" s="30">
        <v>1</v>
      </c>
      <c r="S30" s="30">
        <v>1</v>
      </c>
      <c r="T30" s="30">
        <v>1</v>
      </c>
      <c r="U30" s="30">
        <v>1</v>
      </c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</row>
    <row r="31" spans="1:112" ht="15.75" hidden="1" thickBot="1">
      <c r="A31" s="16" t="s">
        <v>34</v>
      </c>
      <c r="B31" s="16" t="s">
        <v>35</v>
      </c>
      <c r="C31" s="16">
        <v>15</v>
      </c>
      <c r="D31" s="16">
        <v>3</v>
      </c>
      <c r="E31" s="16">
        <v>18</v>
      </c>
      <c r="F31" s="9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31">
        <v>1</v>
      </c>
      <c r="W31" s="31">
        <v>1</v>
      </c>
      <c r="X31" s="31">
        <v>1</v>
      </c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</row>
    <row r="32" spans="1:112" ht="15.75" hidden="1" thickBot="1">
      <c r="A32" s="16" t="s">
        <v>36</v>
      </c>
      <c r="B32" s="16" t="s">
        <v>37</v>
      </c>
      <c r="C32" s="16">
        <v>36</v>
      </c>
      <c r="D32" s="16">
        <v>5</v>
      </c>
      <c r="E32" s="16">
        <v>41</v>
      </c>
      <c r="F32" s="9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32">
        <v>1</v>
      </c>
      <c r="AR32" s="32">
        <v>1</v>
      </c>
      <c r="AS32" s="32">
        <v>1</v>
      </c>
      <c r="AT32" s="32">
        <v>1</v>
      </c>
      <c r="AU32" s="32">
        <v>1</v>
      </c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</row>
    <row r="33" spans="1:57" ht="15.75" hidden="1" thickBot="1">
      <c r="A33" s="16" t="s">
        <v>38</v>
      </c>
      <c r="B33" s="16" t="s">
        <v>39</v>
      </c>
      <c r="C33" s="16">
        <v>4</v>
      </c>
      <c r="D33" s="16">
        <v>5</v>
      </c>
      <c r="E33" s="16">
        <v>9</v>
      </c>
      <c r="F33" s="9"/>
      <c r="G33" s="23"/>
      <c r="H33" s="23"/>
      <c r="I33" s="23"/>
      <c r="J33" s="23"/>
      <c r="K33" s="33">
        <v>1</v>
      </c>
      <c r="L33" s="33">
        <v>1</v>
      </c>
      <c r="M33" s="33">
        <v>1</v>
      </c>
      <c r="N33" s="33">
        <v>1</v>
      </c>
      <c r="O33" s="33">
        <v>1</v>
      </c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</row>
    <row r="34" spans="1:57">
      <c r="A34" s="17"/>
      <c r="B34" s="17"/>
      <c r="C34" s="17"/>
      <c r="D34" s="17"/>
      <c r="E34" s="17"/>
    </row>
    <row r="35" spans="1:57">
      <c r="A35" s="17"/>
      <c r="B35" s="17"/>
      <c r="C35" s="17"/>
      <c r="D35" s="17"/>
      <c r="E35" s="17"/>
    </row>
  </sheetData>
  <mergeCells count="6">
    <mergeCell ref="AQ26:AZ26"/>
    <mergeCell ref="A1:F1"/>
    <mergeCell ref="A14:C14"/>
    <mergeCell ref="A16:F18"/>
    <mergeCell ref="A21:E21"/>
    <mergeCell ref="AI25:AP25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35"/>
  <sheetViews>
    <sheetView showGridLines="0" workbookViewId="0">
      <pane xSplit="6" ySplit="3" topLeftCell="G13" activePane="bottomRight" state="frozen"/>
      <selection pane="topRight"/>
      <selection pane="bottomLeft"/>
      <selection pane="bottomRight" sqref="A1:F1"/>
    </sheetView>
  </sheetViews>
  <sheetFormatPr baseColWidth="10" defaultColWidth="9.140625" defaultRowHeight="15"/>
  <cols>
    <col min="1" max="1" width="8" customWidth="1"/>
    <col min="2" max="2" width="34" customWidth="1"/>
    <col min="3" max="3" width="25" customWidth="1"/>
    <col min="4" max="4" width="8" customWidth="1"/>
    <col min="5" max="5" width="9" customWidth="1"/>
    <col min="6" max="6" width="8" customWidth="1"/>
    <col min="7" max="57" width="3" customWidth="1"/>
  </cols>
  <sheetData>
    <row r="1" spans="1:57" ht="24" customHeight="1">
      <c r="A1" s="54" t="s">
        <v>0</v>
      </c>
      <c r="B1" s="55"/>
      <c r="C1" s="55"/>
      <c r="D1" s="55"/>
      <c r="E1" s="55"/>
      <c r="F1" s="55"/>
    </row>
    <row r="2" spans="1:57" ht="20.100000000000001" customHeight="1"/>
    <row r="3" spans="1:57" ht="20.100000000000001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2">
        <v>0</v>
      </c>
      <c r="H3" s="2">
        <v>1</v>
      </c>
      <c r="I3" s="2">
        <v>2</v>
      </c>
      <c r="J3" s="2">
        <v>3</v>
      </c>
      <c r="K3" s="2">
        <v>4</v>
      </c>
      <c r="L3" s="2">
        <v>5</v>
      </c>
      <c r="M3" s="2">
        <v>6</v>
      </c>
      <c r="N3" s="2">
        <v>7</v>
      </c>
      <c r="O3" s="2">
        <v>8</v>
      </c>
      <c r="P3" s="2">
        <v>9</v>
      </c>
      <c r="Q3" s="2">
        <v>10</v>
      </c>
      <c r="R3" s="2">
        <v>11</v>
      </c>
      <c r="S3" s="2">
        <v>12</v>
      </c>
      <c r="T3" s="2">
        <v>13</v>
      </c>
      <c r="U3" s="2">
        <v>14</v>
      </c>
      <c r="V3" s="2">
        <v>15</v>
      </c>
      <c r="W3" s="2">
        <v>16</v>
      </c>
      <c r="X3" s="2">
        <v>17</v>
      </c>
      <c r="Y3" s="2">
        <v>18</v>
      </c>
      <c r="Z3" s="2">
        <v>19</v>
      </c>
      <c r="AA3" s="2">
        <v>20</v>
      </c>
      <c r="AB3" s="2">
        <v>21</v>
      </c>
      <c r="AC3" s="2">
        <v>22</v>
      </c>
      <c r="AD3" s="2">
        <v>23</v>
      </c>
      <c r="AE3" s="2">
        <v>24</v>
      </c>
      <c r="AF3" s="2">
        <v>25</v>
      </c>
      <c r="AG3" s="2">
        <v>26</v>
      </c>
      <c r="AH3" s="2">
        <v>27</v>
      </c>
      <c r="AI3" s="2">
        <v>28</v>
      </c>
      <c r="AJ3" s="2">
        <v>29</v>
      </c>
      <c r="AK3" s="2">
        <v>30</v>
      </c>
      <c r="AL3" s="2">
        <v>31</v>
      </c>
      <c r="AM3" s="2">
        <v>32</v>
      </c>
      <c r="AN3" s="2">
        <v>33</v>
      </c>
      <c r="AO3" s="2">
        <v>34</v>
      </c>
      <c r="AP3" s="2">
        <v>35</v>
      </c>
      <c r="AQ3" s="2">
        <v>36</v>
      </c>
      <c r="AR3" s="2">
        <v>37</v>
      </c>
      <c r="AS3" s="2">
        <v>38</v>
      </c>
      <c r="AT3" s="2">
        <v>39</v>
      </c>
      <c r="AU3" s="2">
        <v>40</v>
      </c>
      <c r="AV3" s="2">
        <v>41</v>
      </c>
      <c r="AW3" s="2">
        <v>42</v>
      </c>
      <c r="AX3" s="2">
        <v>43</v>
      </c>
      <c r="AY3" s="2">
        <v>44</v>
      </c>
      <c r="AZ3" s="2">
        <v>45</v>
      </c>
      <c r="BA3" s="2">
        <v>46</v>
      </c>
      <c r="BB3" s="2">
        <v>47</v>
      </c>
      <c r="BC3" s="2">
        <v>48</v>
      </c>
      <c r="BD3" s="2">
        <v>49</v>
      </c>
      <c r="BE3" s="2">
        <v>50</v>
      </c>
    </row>
    <row r="4" spans="1:57" ht="20.100000000000001" customHeight="1">
      <c r="A4">
        <v>1</v>
      </c>
      <c r="B4" t="s">
        <v>7</v>
      </c>
      <c r="C4" t="s">
        <v>8</v>
      </c>
      <c r="D4">
        <f>0</f>
        <v>0</v>
      </c>
      <c r="E4">
        <v>4</v>
      </c>
      <c r="F4">
        <f t="shared" ref="F4:F12" si="0">D4+E4</f>
        <v>4</v>
      </c>
      <c r="G4" s="3">
        <f t="shared" ref="G4:P12" si="1">IF(AND(G$3&gt;=$D4,G$3&lt;$F4),1,"")</f>
        <v>1</v>
      </c>
      <c r="H4" s="3">
        <f t="shared" si="1"/>
        <v>1</v>
      </c>
      <c r="I4" s="3">
        <f t="shared" si="1"/>
        <v>1</v>
      </c>
      <c r="J4" s="3">
        <f t="shared" si="1"/>
        <v>1</v>
      </c>
      <c r="K4" s="3" t="str">
        <f t="shared" si="1"/>
        <v/>
      </c>
      <c r="L4" s="3" t="str">
        <f t="shared" si="1"/>
        <v/>
      </c>
      <c r="M4" s="3" t="str">
        <f t="shared" si="1"/>
        <v/>
      </c>
      <c r="N4" s="3" t="str">
        <f t="shared" si="1"/>
        <v/>
      </c>
      <c r="O4" s="3" t="str">
        <f t="shared" si="1"/>
        <v/>
      </c>
      <c r="P4" s="3" t="str">
        <f t="shared" si="1"/>
        <v/>
      </c>
      <c r="Q4" s="3" t="str">
        <f t="shared" ref="Q4:Z12" si="2">IF(AND(Q$3&gt;=$D4,Q$3&lt;$F4),1,"")</f>
        <v/>
      </c>
      <c r="R4" s="3" t="str">
        <f t="shared" si="2"/>
        <v/>
      </c>
      <c r="S4" s="3" t="str">
        <f t="shared" si="2"/>
        <v/>
      </c>
      <c r="T4" s="3" t="str">
        <f t="shared" si="2"/>
        <v/>
      </c>
      <c r="U4" s="3" t="str">
        <f t="shared" si="2"/>
        <v/>
      </c>
      <c r="V4" s="3" t="str">
        <f t="shared" si="2"/>
        <v/>
      </c>
      <c r="W4" s="3" t="str">
        <f t="shared" si="2"/>
        <v/>
      </c>
      <c r="X4" s="3" t="str">
        <f t="shared" si="2"/>
        <v/>
      </c>
      <c r="Y4" s="3" t="str">
        <f t="shared" si="2"/>
        <v/>
      </c>
      <c r="Z4" s="3" t="str">
        <f t="shared" si="2"/>
        <v/>
      </c>
      <c r="AA4" s="3" t="str">
        <f t="shared" ref="AA4:AJ12" si="3">IF(AND(AA$3&gt;=$D4,AA$3&lt;$F4),1,"")</f>
        <v/>
      </c>
      <c r="AB4" s="3" t="str">
        <f t="shared" si="3"/>
        <v/>
      </c>
      <c r="AC4" s="3" t="str">
        <f t="shared" si="3"/>
        <v/>
      </c>
      <c r="AD4" s="3" t="str">
        <f t="shared" si="3"/>
        <v/>
      </c>
      <c r="AE4" s="3" t="str">
        <f t="shared" si="3"/>
        <v/>
      </c>
      <c r="AF4" s="3" t="str">
        <f t="shared" si="3"/>
        <v/>
      </c>
      <c r="AG4" s="3" t="str">
        <f t="shared" si="3"/>
        <v/>
      </c>
      <c r="AH4" s="3" t="str">
        <f t="shared" si="3"/>
        <v/>
      </c>
      <c r="AI4" s="3" t="str">
        <f t="shared" si="3"/>
        <v/>
      </c>
      <c r="AJ4" s="3" t="str">
        <f t="shared" si="3"/>
        <v/>
      </c>
      <c r="AK4" s="3" t="str">
        <f t="shared" ref="AK4:AT12" si="4">IF(AND(AK$3&gt;=$D4,AK$3&lt;$F4),1,"")</f>
        <v/>
      </c>
      <c r="AL4" s="3" t="str">
        <f t="shared" si="4"/>
        <v/>
      </c>
      <c r="AM4" s="3" t="str">
        <f t="shared" si="4"/>
        <v/>
      </c>
      <c r="AN4" s="3" t="str">
        <f t="shared" si="4"/>
        <v/>
      </c>
      <c r="AO4" s="3" t="str">
        <f t="shared" si="4"/>
        <v/>
      </c>
      <c r="AP4" s="3" t="str">
        <f t="shared" si="4"/>
        <v/>
      </c>
      <c r="AQ4" s="3" t="str">
        <f t="shared" si="4"/>
        <v/>
      </c>
      <c r="AR4" s="3" t="str">
        <f t="shared" si="4"/>
        <v/>
      </c>
      <c r="AS4" s="3" t="str">
        <f t="shared" si="4"/>
        <v/>
      </c>
      <c r="AT4" s="3" t="str">
        <f t="shared" si="4"/>
        <v/>
      </c>
      <c r="AU4" s="3" t="str">
        <f t="shared" ref="AU4:BE12" si="5">IF(AND(AU$3&gt;=$D4,AU$3&lt;$F4),1,"")</f>
        <v/>
      </c>
      <c r="AV4" s="3" t="str">
        <f t="shared" si="5"/>
        <v/>
      </c>
      <c r="AW4" s="3" t="str">
        <f t="shared" si="5"/>
        <v/>
      </c>
      <c r="AX4" s="3" t="str">
        <f t="shared" si="5"/>
        <v/>
      </c>
      <c r="AY4" s="3" t="str">
        <f t="shared" si="5"/>
        <v/>
      </c>
      <c r="AZ4" s="3" t="str">
        <f t="shared" si="5"/>
        <v/>
      </c>
      <c r="BA4" s="3" t="str">
        <f t="shared" si="5"/>
        <v/>
      </c>
      <c r="BB4" s="3" t="str">
        <f t="shared" si="5"/>
        <v/>
      </c>
      <c r="BC4" s="3" t="str">
        <f t="shared" si="5"/>
        <v/>
      </c>
      <c r="BD4" s="3" t="str">
        <f t="shared" si="5"/>
        <v/>
      </c>
      <c r="BE4" s="3" t="str">
        <f t="shared" si="5"/>
        <v/>
      </c>
    </row>
    <row r="5" spans="1:57" ht="20.100000000000001" customHeight="1">
      <c r="A5">
        <v>2</v>
      </c>
      <c r="B5" t="s">
        <v>9</v>
      </c>
      <c r="C5" t="s">
        <v>8</v>
      </c>
      <c r="D5">
        <f t="shared" ref="D5:D12" si="6">F4</f>
        <v>4</v>
      </c>
      <c r="E5">
        <v>5</v>
      </c>
      <c r="F5">
        <f t="shared" si="0"/>
        <v>9</v>
      </c>
      <c r="G5" s="3" t="str">
        <f t="shared" si="1"/>
        <v/>
      </c>
      <c r="H5" s="3" t="str">
        <f t="shared" si="1"/>
        <v/>
      </c>
      <c r="I5" s="3" t="str">
        <f t="shared" si="1"/>
        <v/>
      </c>
      <c r="J5" s="3" t="str">
        <f t="shared" si="1"/>
        <v/>
      </c>
      <c r="K5" s="3">
        <f t="shared" si="1"/>
        <v>1</v>
      </c>
      <c r="L5" s="3">
        <f t="shared" si="1"/>
        <v>1</v>
      </c>
      <c r="M5" s="3">
        <f t="shared" si="1"/>
        <v>1</v>
      </c>
      <c r="N5" s="3">
        <f t="shared" si="1"/>
        <v>1</v>
      </c>
      <c r="O5" s="3">
        <f t="shared" si="1"/>
        <v>1</v>
      </c>
      <c r="P5" s="3" t="str">
        <f t="shared" si="1"/>
        <v/>
      </c>
      <c r="Q5" s="3" t="str">
        <f t="shared" si="2"/>
        <v/>
      </c>
      <c r="R5" s="3" t="str">
        <f t="shared" si="2"/>
        <v/>
      </c>
      <c r="S5" s="3" t="str">
        <f t="shared" si="2"/>
        <v/>
      </c>
      <c r="T5" s="3" t="str">
        <f t="shared" si="2"/>
        <v/>
      </c>
      <c r="U5" s="3" t="str">
        <f t="shared" si="2"/>
        <v/>
      </c>
      <c r="V5" s="3" t="str">
        <f t="shared" si="2"/>
        <v/>
      </c>
      <c r="W5" s="3" t="str">
        <f t="shared" si="2"/>
        <v/>
      </c>
      <c r="X5" s="3" t="str">
        <f t="shared" si="2"/>
        <v/>
      </c>
      <c r="Y5" s="3" t="str">
        <f t="shared" si="2"/>
        <v/>
      </c>
      <c r="Z5" s="3" t="str">
        <f t="shared" si="2"/>
        <v/>
      </c>
      <c r="AA5" s="3" t="str">
        <f t="shared" si="3"/>
        <v/>
      </c>
      <c r="AB5" s="3" t="str">
        <f t="shared" si="3"/>
        <v/>
      </c>
      <c r="AC5" s="3" t="str">
        <f t="shared" si="3"/>
        <v/>
      </c>
      <c r="AD5" s="3" t="str">
        <f t="shared" si="3"/>
        <v/>
      </c>
      <c r="AE5" s="3" t="str">
        <f t="shared" si="3"/>
        <v/>
      </c>
      <c r="AF5" s="3" t="str">
        <f t="shared" si="3"/>
        <v/>
      </c>
      <c r="AG5" s="3" t="str">
        <f t="shared" si="3"/>
        <v/>
      </c>
      <c r="AH5" s="3" t="str">
        <f t="shared" si="3"/>
        <v/>
      </c>
      <c r="AI5" s="3" t="str">
        <f t="shared" si="3"/>
        <v/>
      </c>
      <c r="AJ5" s="3" t="str">
        <f t="shared" si="3"/>
        <v/>
      </c>
      <c r="AK5" s="3" t="str">
        <f t="shared" si="4"/>
        <v/>
      </c>
      <c r="AL5" s="3" t="str">
        <f t="shared" si="4"/>
        <v/>
      </c>
      <c r="AM5" s="3" t="str">
        <f t="shared" si="4"/>
        <v/>
      </c>
      <c r="AN5" s="3" t="str">
        <f t="shared" si="4"/>
        <v/>
      </c>
      <c r="AO5" s="3" t="str">
        <f t="shared" si="4"/>
        <v/>
      </c>
      <c r="AP5" s="3" t="str">
        <f t="shared" si="4"/>
        <v/>
      </c>
      <c r="AQ5" s="3" t="str">
        <f t="shared" si="4"/>
        <v/>
      </c>
      <c r="AR5" s="3" t="str">
        <f t="shared" si="4"/>
        <v/>
      </c>
      <c r="AS5" s="3" t="str">
        <f t="shared" si="4"/>
        <v/>
      </c>
      <c r="AT5" s="3" t="str">
        <f t="shared" si="4"/>
        <v/>
      </c>
      <c r="AU5" s="3" t="str">
        <f t="shared" si="5"/>
        <v/>
      </c>
      <c r="AV5" s="3" t="str">
        <f t="shared" si="5"/>
        <v/>
      </c>
      <c r="AW5" s="3" t="str">
        <f t="shared" si="5"/>
        <v/>
      </c>
      <c r="AX5" s="3" t="str">
        <f t="shared" si="5"/>
        <v/>
      </c>
      <c r="AY5" s="3" t="str">
        <f t="shared" si="5"/>
        <v/>
      </c>
      <c r="AZ5" s="3" t="str">
        <f t="shared" si="5"/>
        <v/>
      </c>
      <c r="BA5" s="3" t="str">
        <f t="shared" si="5"/>
        <v/>
      </c>
      <c r="BB5" s="3" t="str">
        <f t="shared" si="5"/>
        <v/>
      </c>
      <c r="BC5" s="3" t="str">
        <f t="shared" si="5"/>
        <v/>
      </c>
      <c r="BD5" s="3" t="str">
        <f t="shared" si="5"/>
        <v/>
      </c>
      <c r="BE5" s="3" t="str">
        <f t="shared" si="5"/>
        <v/>
      </c>
    </row>
    <row r="6" spans="1:57" ht="20.100000000000001" customHeight="1">
      <c r="A6">
        <v>3</v>
      </c>
      <c r="B6" t="s">
        <v>10</v>
      </c>
      <c r="C6" t="s">
        <v>8</v>
      </c>
      <c r="D6">
        <f t="shared" si="6"/>
        <v>9</v>
      </c>
      <c r="E6">
        <v>6</v>
      </c>
      <c r="F6">
        <f t="shared" si="0"/>
        <v>15</v>
      </c>
      <c r="G6" s="3" t="str">
        <f t="shared" si="1"/>
        <v/>
      </c>
      <c r="H6" s="3" t="str">
        <f t="shared" si="1"/>
        <v/>
      </c>
      <c r="I6" s="3" t="str">
        <f t="shared" si="1"/>
        <v/>
      </c>
      <c r="J6" s="3" t="str">
        <f t="shared" si="1"/>
        <v/>
      </c>
      <c r="K6" s="3" t="str">
        <f t="shared" si="1"/>
        <v/>
      </c>
      <c r="L6" s="3" t="str">
        <f t="shared" si="1"/>
        <v/>
      </c>
      <c r="M6" s="3" t="str">
        <f t="shared" si="1"/>
        <v/>
      </c>
      <c r="N6" s="3" t="str">
        <f t="shared" si="1"/>
        <v/>
      </c>
      <c r="O6" s="3" t="str">
        <f t="shared" si="1"/>
        <v/>
      </c>
      <c r="P6" s="3">
        <f t="shared" si="1"/>
        <v>1</v>
      </c>
      <c r="Q6" s="3">
        <f t="shared" si="2"/>
        <v>1</v>
      </c>
      <c r="R6" s="3">
        <f t="shared" si="2"/>
        <v>1</v>
      </c>
      <c r="S6" s="3">
        <f t="shared" si="2"/>
        <v>1</v>
      </c>
      <c r="T6" s="3">
        <f t="shared" si="2"/>
        <v>1</v>
      </c>
      <c r="U6" s="3">
        <f t="shared" si="2"/>
        <v>1</v>
      </c>
      <c r="V6" s="3" t="str">
        <f t="shared" si="2"/>
        <v/>
      </c>
      <c r="W6" s="3" t="str">
        <f t="shared" si="2"/>
        <v/>
      </c>
      <c r="X6" s="3" t="str">
        <f t="shared" si="2"/>
        <v/>
      </c>
      <c r="Y6" s="3" t="str">
        <f t="shared" si="2"/>
        <v/>
      </c>
      <c r="Z6" s="3" t="str">
        <f t="shared" si="2"/>
        <v/>
      </c>
      <c r="AA6" s="3" t="str">
        <f t="shared" si="3"/>
        <v/>
      </c>
      <c r="AB6" s="3" t="str">
        <f t="shared" si="3"/>
        <v/>
      </c>
      <c r="AC6" s="3" t="str">
        <f t="shared" si="3"/>
        <v/>
      </c>
      <c r="AD6" s="3" t="str">
        <f t="shared" si="3"/>
        <v/>
      </c>
      <c r="AE6" s="3" t="str">
        <f t="shared" si="3"/>
        <v/>
      </c>
      <c r="AF6" s="3" t="str">
        <f t="shared" si="3"/>
        <v/>
      </c>
      <c r="AG6" s="3" t="str">
        <f t="shared" si="3"/>
        <v/>
      </c>
      <c r="AH6" s="3" t="str">
        <f t="shared" si="3"/>
        <v/>
      </c>
      <c r="AI6" s="3" t="str">
        <f t="shared" si="3"/>
        <v/>
      </c>
      <c r="AJ6" s="3" t="str">
        <f t="shared" si="3"/>
        <v/>
      </c>
      <c r="AK6" s="3" t="str">
        <f t="shared" si="4"/>
        <v/>
      </c>
      <c r="AL6" s="3" t="str">
        <f t="shared" si="4"/>
        <v/>
      </c>
      <c r="AM6" s="3" t="str">
        <f t="shared" si="4"/>
        <v/>
      </c>
      <c r="AN6" s="3" t="str">
        <f t="shared" si="4"/>
        <v/>
      </c>
      <c r="AO6" s="3" t="str">
        <f t="shared" si="4"/>
        <v/>
      </c>
      <c r="AP6" s="3" t="str">
        <f t="shared" si="4"/>
        <v/>
      </c>
      <c r="AQ6" s="3" t="str">
        <f t="shared" si="4"/>
        <v/>
      </c>
      <c r="AR6" s="3" t="str">
        <f t="shared" si="4"/>
        <v/>
      </c>
      <c r="AS6" s="3" t="str">
        <f t="shared" si="4"/>
        <v/>
      </c>
      <c r="AT6" s="3" t="str">
        <f t="shared" si="4"/>
        <v/>
      </c>
      <c r="AU6" s="3" t="str">
        <f t="shared" si="5"/>
        <v/>
      </c>
      <c r="AV6" s="3" t="str">
        <f t="shared" si="5"/>
        <v/>
      </c>
      <c r="AW6" s="3" t="str">
        <f t="shared" si="5"/>
        <v/>
      </c>
      <c r="AX6" s="3" t="str">
        <f t="shared" si="5"/>
        <v/>
      </c>
      <c r="AY6" s="3" t="str">
        <f t="shared" si="5"/>
        <v/>
      </c>
      <c r="AZ6" s="3" t="str">
        <f t="shared" si="5"/>
        <v/>
      </c>
      <c r="BA6" s="3" t="str">
        <f t="shared" si="5"/>
        <v/>
      </c>
      <c r="BB6" s="3" t="str">
        <f t="shared" si="5"/>
        <v/>
      </c>
      <c r="BC6" s="3" t="str">
        <f t="shared" si="5"/>
        <v/>
      </c>
      <c r="BD6" s="3" t="str">
        <f t="shared" si="5"/>
        <v/>
      </c>
      <c r="BE6" s="3" t="str">
        <f t="shared" si="5"/>
        <v/>
      </c>
    </row>
    <row r="7" spans="1:57" ht="20.100000000000001" customHeight="1">
      <c r="A7">
        <v>4</v>
      </c>
      <c r="B7" t="s">
        <v>11</v>
      </c>
      <c r="C7" t="s">
        <v>8</v>
      </c>
      <c r="D7">
        <f t="shared" si="6"/>
        <v>15</v>
      </c>
      <c r="E7">
        <v>3</v>
      </c>
      <c r="F7">
        <f t="shared" si="0"/>
        <v>18</v>
      </c>
      <c r="G7" s="3" t="str">
        <f t="shared" si="1"/>
        <v/>
      </c>
      <c r="H7" s="3" t="str">
        <f t="shared" si="1"/>
        <v/>
      </c>
      <c r="I7" s="3" t="str">
        <f t="shared" si="1"/>
        <v/>
      </c>
      <c r="J7" s="3" t="str">
        <f t="shared" si="1"/>
        <v/>
      </c>
      <c r="K7" s="3" t="str">
        <f t="shared" si="1"/>
        <v/>
      </c>
      <c r="L7" s="3" t="str">
        <f t="shared" si="1"/>
        <v/>
      </c>
      <c r="M7" s="3" t="str">
        <f t="shared" si="1"/>
        <v/>
      </c>
      <c r="N7" s="3" t="str">
        <f t="shared" si="1"/>
        <v/>
      </c>
      <c r="O7" s="3" t="str">
        <f t="shared" si="1"/>
        <v/>
      </c>
      <c r="P7" s="3" t="str">
        <f t="shared" si="1"/>
        <v/>
      </c>
      <c r="Q7" s="3" t="str">
        <f t="shared" si="2"/>
        <v/>
      </c>
      <c r="R7" s="3" t="str">
        <f t="shared" si="2"/>
        <v/>
      </c>
      <c r="S7" s="3" t="str">
        <f t="shared" si="2"/>
        <v/>
      </c>
      <c r="T7" s="3" t="str">
        <f t="shared" si="2"/>
        <v/>
      </c>
      <c r="U7" s="3" t="str">
        <f t="shared" si="2"/>
        <v/>
      </c>
      <c r="V7" s="3">
        <f t="shared" si="2"/>
        <v>1</v>
      </c>
      <c r="W7" s="3">
        <f t="shared" si="2"/>
        <v>1</v>
      </c>
      <c r="X7" s="3">
        <f t="shared" si="2"/>
        <v>1</v>
      </c>
      <c r="Y7" s="3" t="str">
        <f t="shared" si="2"/>
        <v/>
      </c>
      <c r="Z7" s="3" t="str">
        <f t="shared" si="2"/>
        <v/>
      </c>
      <c r="AA7" s="3" t="str">
        <f t="shared" si="3"/>
        <v/>
      </c>
      <c r="AB7" s="3" t="str">
        <f t="shared" si="3"/>
        <v/>
      </c>
      <c r="AC7" s="3" t="str">
        <f t="shared" si="3"/>
        <v/>
      </c>
      <c r="AD7" s="3" t="str">
        <f t="shared" si="3"/>
        <v/>
      </c>
      <c r="AE7" s="3" t="str">
        <f t="shared" si="3"/>
        <v/>
      </c>
      <c r="AF7" s="3" t="str">
        <f t="shared" si="3"/>
        <v/>
      </c>
      <c r="AG7" s="3" t="str">
        <f t="shared" si="3"/>
        <v/>
      </c>
      <c r="AH7" s="3" t="str">
        <f t="shared" si="3"/>
        <v/>
      </c>
      <c r="AI7" s="3" t="str">
        <f t="shared" si="3"/>
        <v/>
      </c>
      <c r="AJ7" s="3" t="str">
        <f t="shared" si="3"/>
        <v/>
      </c>
      <c r="AK7" s="3" t="str">
        <f t="shared" si="4"/>
        <v/>
      </c>
      <c r="AL7" s="3" t="str">
        <f t="shared" si="4"/>
        <v/>
      </c>
      <c r="AM7" s="3" t="str">
        <f t="shared" si="4"/>
        <v/>
      </c>
      <c r="AN7" s="3" t="str">
        <f t="shared" si="4"/>
        <v/>
      </c>
      <c r="AO7" s="3" t="str">
        <f t="shared" si="4"/>
        <v/>
      </c>
      <c r="AP7" s="3" t="str">
        <f t="shared" si="4"/>
        <v/>
      </c>
      <c r="AQ7" s="3" t="str">
        <f t="shared" si="4"/>
        <v/>
      </c>
      <c r="AR7" s="3" t="str">
        <f t="shared" si="4"/>
        <v/>
      </c>
      <c r="AS7" s="3" t="str">
        <f t="shared" si="4"/>
        <v/>
      </c>
      <c r="AT7" s="3" t="str">
        <f t="shared" si="4"/>
        <v/>
      </c>
      <c r="AU7" s="3" t="str">
        <f t="shared" si="5"/>
        <v/>
      </c>
      <c r="AV7" s="3" t="str">
        <f t="shared" si="5"/>
        <v/>
      </c>
      <c r="AW7" s="3" t="str">
        <f t="shared" si="5"/>
        <v/>
      </c>
      <c r="AX7" s="3" t="str">
        <f t="shared" si="5"/>
        <v/>
      </c>
      <c r="AY7" s="3" t="str">
        <f t="shared" si="5"/>
        <v/>
      </c>
      <c r="AZ7" s="3" t="str">
        <f t="shared" si="5"/>
        <v/>
      </c>
      <c r="BA7" s="3" t="str">
        <f t="shared" si="5"/>
        <v/>
      </c>
      <c r="BB7" s="3" t="str">
        <f t="shared" si="5"/>
        <v/>
      </c>
      <c r="BC7" s="3" t="str">
        <f t="shared" si="5"/>
        <v/>
      </c>
      <c r="BD7" s="3" t="str">
        <f t="shared" si="5"/>
        <v/>
      </c>
      <c r="BE7" s="3" t="str">
        <f t="shared" si="5"/>
        <v/>
      </c>
    </row>
    <row r="8" spans="1:57" ht="20.100000000000001" customHeight="1">
      <c r="A8">
        <v>5</v>
      </c>
      <c r="B8" t="s">
        <v>12</v>
      </c>
      <c r="C8" t="s">
        <v>13</v>
      </c>
      <c r="D8">
        <f t="shared" si="6"/>
        <v>18</v>
      </c>
      <c r="E8">
        <v>10</v>
      </c>
      <c r="F8">
        <f t="shared" si="0"/>
        <v>28</v>
      </c>
      <c r="G8" s="3" t="str">
        <f t="shared" si="1"/>
        <v/>
      </c>
      <c r="H8" s="3" t="str">
        <f t="shared" si="1"/>
        <v/>
      </c>
      <c r="I8" s="3" t="str">
        <f t="shared" si="1"/>
        <v/>
      </c>
      <c r="J8" s="3" t="str">
        <f t="shared" si="1"/>
        <v/>
      </c>
      <c r="K8" s="3" t="str">
        <f t="shared" si="1"/>
        <v/>
      </c>
      <c r="L8" s="3" t="str">
        <f t="shared" si="1"/>
        <v/>
      </c>
      <c r="M8" s="3" t="str">
        <f t="shared" si="1"/>
        <v/>
      </c>
      <c r="N8" s="3" t="str">
        <f t="shared" si="1"/>
        <v/>
      </c>
      <c r="O8" s="3" t="str">
        <f t="shared" si="1"/>
        <v/>
      </c>
      <c r="P8" s="3" t="str">
        <f t="shared" si="1"/>
        <v/>
      </c>
      <c r="Q8" s="3" t="str">
        <f t="shared" si="2"/>
        <v/>
      </c>
      <c r="R8" s="3" t="str">
        <f t="shared" si="2"/>
        <v/>
      </c>
      <c r="S8" s="3" t="str">
        <f t="shared" si="2"/>
        <v/>
      </c>
      <c r="T8" s="3" t="str">
        <f t="shared" si="2"/>
        <v/>
      </c>
      <c r="U8" s="3" t="str">
        <f t="shared" si="2"/>
        <v/>
      </c>
      <c r="V8" s="3" t="str">
        <f t="shared" si="2"/>
        <v/>
      </c>
      <c r="W8" s="3" t="str">
        <f t="shared" si="2"/>
        <v/>
      </c>
      <c r="X8" s="3" t="str">
        <f t="shared" si="2"/>
        <v/>
      </c>
      <c r="Y8" s="3">
        <f t="shared" si="2"/>
        <v>1</v>
      </c>
      <c r="Z8" s="3">
        <f t="shared" si="2"/>
        <v>1</v>
      </c>
      <c r="AA8" s="3">
        <f t="shared" si="3"/>
        <v>1</v>
      </c>
      <c r="AB8" s="3">
        <f t="shared" si="3"/>
        <v>1</v>
      </c>
      <c r="AC8" s="3">
        <f t="shared" si="3"/>
        <v>1</v>
      </c>
      <c r="AD8" s="3">
        <f t="shared" si="3"/>
        <v>1</v>
      </c>
      <c r="AE8" s="3">
        <f t="shared" si="3"/>
        <v>1</v>
      </c>
      <c r="AF8" s="3">
        <f t="shared" si="3"/>
        <v>1</v>
      </c>
      <c r="AG8" s="3">
        <f t="shared" si="3"/>
        <v>1</v>
      </c>
      <c r="AH8" s="3">
        <f t="shared" si="3"/>
        <v>1</v>
      </c>
      <c r="AI8" s="3" t="str">
        <f t="shared" si="3"/>
        <v/>
      </c>
      <c r="AJ8" s="3" t="str">
        <f t="shared" si="3"/>
        <v/>
      </c>
      <c r="AK8" s="3" t="str">
        <f t="shared" si="4"/>
        <v/>
      </c>
      <c r="AL8" s="3" t="str">
        <f t="shared" si="4"/>
        <v/>
      </c>
      <c r="AM8" s="3" t="str">
        <f t="shared" si="4"/>
        <v/>
      </c>
      <c r="AN8" s="3" t="str">
        <f t="shared" si="4"/>
        <v/>
      </c>
      <c r="AO8" s="3" t="str">
        <f t="shared" si="4"/>
        <v/>
      </c>
      <c r="AP8" s="3" t="str">
        <f t="shared" si="4"/>
        <v/>
      </c>
      <c r="AQ8" s="3" t="str">
        <f t="shared" si="4"/>
        <v/>
      </c>
      <c r="AR8" s="3" t="str">
        <f t="shared" si="4"/>
        <v/>
      </c>
      <c r="AS8" s="3" t="str">
        <f t="shared" si="4"/>
        <v/>
      </c>
      <c r="AT8" s="3" t="str">
        <f t="shared" si="4"/>
        <v/>
      </c>
      <c r="AU8" s="3" t="str">
        <f t="shared" si="5"/>
        <v/>
      </c>
      <c r="AV8" s="3" t="str">
        <f t="shared" si="5"/>
        <v/>
      </c>
      <c r="AW8" s="3" t="str">
        <f t="shared" si="5"/>
        <v/>
      </c>
      <c r="AX8" s="3" t="str">
        <f t="shared" si="5"/>
        <v/>
      </c>
      <c r="AY8" s="3" t="str">
        <f t="shared" si="5"/>
        <v/>
      </c>
      <c r="AZ8" s="3" t="str">
        <f t="shared" si="5"/>
        <v/>
      </c>
      <c r="BA8" s="3" t="str">
        <f t="shared" si="5"/>
        <v/>
      </c>
      <c r="BB8" s="3" t="str">
        <f t="shared" si="5"/>
        <v/>
      </c>
      <c r="BC8" s="3" t="str">
        <f t="shared" si="5"/>
        <v/>
      </c>
      <c r="BD8" s="3" t="str">
        <f t="shared" si="5"/>
        <v/>
      </c>
      <c r="BE8" s="3" t="str">
        <f t="shared" si="5"/>
        <v/>
      </c>
    </row>
    <row r="9" spans="1:57" ht="20.100000000000001" customHeight="1">
      <c r="A9">
        <v>6</v>
      </c>
      <c r="B9" t="s">
        <v>14</v>
      </c>
      <c r="C9" t="s">
        <v>15</v>
      </c>
      <c r="D9">
        <f t="shared" si="6"/>
        <v>28</v>
      </c>
      <c r="E9">
        <v>8</v>
      </c>
      <c r="F9">
        <f t="shared" si="0"/>
        <v>36</v>
      </c>
      <c r="G9" s="3" t="str">
        <f t="shared" si="1"/>
        <v/>
      </c>
      <c r="H9" s="3" t="str">
        <f t="shared" si="1"/>
        <v/>
      </c>
      <c r="I9" s="3" t="str">
        <f t="shared" si="1"/>
        <v/>
      </c>
      <c r="J9" s="3" t="str">
        <f t="shared" si="1"/>
        <v/>
      </c>
      <c r="K9" s="3" t="str">
        <f t="shared" si="1"/>
        <v/>
      </c>
      <c r="L9" s="3" t="str">
        <f t="shared" si="1"/>
        <v/>
      </c>
      <c r="M9" s="3" t="str">
        <f t="shared" si="1"/>
        <v/>
      </c>
      <c r="N9" s="3" t="str">
        <f t="shared" si="1"/>
        <v/>
      </c>
      <c r="O9" s="3" t="str">
        <f t="shared" si="1"/>
        <v/>
      </c>
      <c r="P9" s="3" t="str">
        <f t="shared" si="1"/>
        <v/>
      </c>
      <c r="Q9" s="3" t="str">
        <f t="shared" si="2"/>
        <v/>
      </c>
      <c r="R9" s="3" t="str">
        <f t="shared" si="2"/>
        <v/>
      </c>
      <c r="S9" s="3" t="str">
        <f t="shared" si="2"/>
        <v/>
      </c>
      <c r="T9" s="3" t="str">
        <f t="shared" si="2"/>
        <v/>
      </c>
      <c r="U9" s="3" t="str">
        <f t="shared" si="2"/>
        <v/>
      </c>
      <c r="V9" s="3" t="str">
        <f t="shared" si="2"/>
        <v/>
      </c>
      <c r="W9" s="3" t="str">
        <f t="shared" si="2"/>
        <v/>
      </c>
      <c r="X9" s="3" t="str">
        <f t="shared" si="2"/>
        <v/>
      </c>
      <c r="Y9" s="3" t="str">
        <f t="shared" si="2"/>
        <v/>
      </c>
      <c r="Z9" s="3" t="str">
        <f t="shared" si="2"/>
        <v/>
      </c>
      <c r="AA9" s="3" t="str">
        <f t="shared" si="3"/>
        <v/>
      </c>
      <c r="AB9" s="3" t="str">
        <f t="shared" si="3"/>
        <v/>
      </c>
      <c r="AC9" s="3" t="str">
        <f t="shared" si="3"/>
        <v/>
      </c>
      <c r="AD9" s="3" t="str">
        <f t="shared" si="3"/>
        <v/>
      </c>
      <c r="AE9" s="3" t="str">
        <f t="shared" si="3"/>
        <v/>
      </c>
      <c r="AF9" s="3" t="str">
        <f t="shared" si="3"/>
        <v/>
      </c>
      <c r="AG9" s="3" t="str">
        <f t="shared" si="3"/>
        <v/>
      </c>
      <c r="AH9" s="3" t="str">
        <f t="shared" si="3"/>
        <v/>
      </c>
      <c r="AI9" s="3">
        <f t="shared" si="3"/>
        <v>1</v>
      </c>
      <c r="AJ9" s="3">
        <f t="shared" si="3"/>
        <v>1</v>
      </c>
      <c r="AK9" s="3">
        <f t="shared" si="4"/>
        <v>1</v>
      </c>
      <c r="AL9" s="3">
        <f t="shared" si="4"/>
        <v>1</v>
      </c>
      <c r="AM9" s="3">
        <f t="shared" si="4"/>
        <v>1</v>
      </c>
      <c r="AN9" s="3">
        <f t="shared" si="4"/>
        <v>1</v>
      </c>
      <c r="AO9" s="3">
        <f t="shared" si="4"/>
        <v>1</v>
      </c>
      <c r="AP9" s="3">
        <f t="shared" si="4"/>
        <v>1</v>
      </c>
      <c r="AQ9" s="3" t="str">
        <f t="shared" si="4"/>
        <v/>
      </c>
      <c r="AR9" s="3" t="str">
        <f t="shared" si="4"/>
        <v/>
      </c>
      <c r="AS9" s="3" t="str">
        <f t="shared" si="4"/>
        <v/>
      </c>
      <c r="AT9" s="3" t="str">
        <f t="shared" si="4"/>
        <v/>
      </c>
      <c r="AU9" s="3" t="str">
        <f t="shared" si="5"/>
        <v/>
      </c>
      <c r="AV9" s="3" t="str">
        <f t="shared" si="5"/>
        <v/>
      </c>
      <c r="AW9" s="3" t="str">
        <f t="shared" si="5"/>
        <v/>
      </c>
      <c r="AX9" s="3" t="str">
        <f t="shared" si="5"/>
        <v/>
      </c>
      <c r="AY9" s="3" t="str">
        <f t="shared" si="5"/>
        <v/>
      </c>
      <c r="AZ9" s="3" t="str">
        <f t="shared" si="5"/>
        <v/>
      </c>
      <c r="BA9" s="3" t="str">
        <f t="shared" si="5"/>
        <v/>
      </c>
      <c r="BB9" s="3" t="str">
        <f t="shared" si="5"/>
        <v/>
      </c>
      <c r="BC9" s="3" t="str">
        <f t="shared" si="5"/>
        <v/>
      </c>
      <c r="BD9" s="3" t="str">
        <f t="shared" si="5"/>
        <v/>
      </c>
      <c r="BE9" s="3" t="str">
        <f t="shared" si="5"/>
        <v/>
      </c>
    </row>
    <row r="10" spans="1:57" ht="20.100000000000001" customHeight="1">
      <c r="A10">
        <v>7</v>
      </c>
      <c r="B10" t="s">
        <v>16</v>
      </c>
      <c r="C10" t="s">
        <v>17</v>
      </c>
      <c r="D10">
        <f t="shared" si="6"/>
        <v>36</v>
      </c>
      <c r="E10">
        <v>5</v>
      </c>
      <c r="F10">
        <f t="shared" si="0"/>
        <v>41</v>
      </c>
      <c r="G10" s="3" t="str">
        <f t="shared" si="1"/>
        <v/>
      </c>
      <c r="H10" s="3" t="str">
        <f t="shared" si="1"/>
        <v/>
      </c>
      <c r="I10" s="3" t="str">
        <f t="shared" si="1"/>
        <v/>
      </c>
      <c r="J10" s="3" t="str">
        <f t="shared" si="1"/>
        <v/>
      </c>
      <c r="K10" s="3" t="str">
        <f t="shared" si="1"/>
        <v/>
      </c>
      <c r="L10" s="3" t="str">
        <f t="shared" si="1"/>
        <v/>
      </c>
      <c r="M10" s="3" t="str">
        <f t="shared" si="1"/>
        <v/>
      </c>
      <c r="N10" s="3" t="str">
        <f t="shared" si="1"/>
        <v/>
      </c>
      <c r="O10" s="3" t="str">
        <f t="shared" si="1"/>
        <v/>
      </c>
      <c r="P10" s="3" t="str">
        <f t="shared" si="1"/>
        <v/>
      </c>
      <c r="Q10" s="3" t="str">
        <f t="shared" si="2"/>
        <v/>
      </c>
      <c r="R10" s="3" t="str">
        <f t="shared" si="2"/>
        <v/>
      </c>
      <c r="S10" s="3" t="str">
        <f t="shared" si="2"/>
        <v/>
      </c>
      <c r="T10" s="3" t="str">
        <f t="shared" si="2"/>
        <v/>
      </c>
      <c r="U10" s="3" t="str">
        <f t="shared" si="2"/>
        <v/>
      </c>
      <c r="V10" s="3" t="str">
        <f t="shared" si="2"/>
        <v/>
      </c>
      <c r="W10" s="3" t="str">
        <f t="shared" si="2"/>
        <v/>
      </c>
      <c r="X10" s="3" t="str">
        <f t="shared" si="2"/>
        <v/>
      </c>
      <c r="Y10" s="3" t="str">
        <f t="shared" si="2"/>
        <v/>
      </c>
      <c r="Z10" s="3" t="str">
        <f t="shared" si="2"/>
        <v/>
      </c>
      <c r="AA10" s="3" t="str">
        <f t="shared" si="3"/>
        <v/>
      </c>
      <c r="AB10" s="3" t="str">
        <f t="shared" si="3"/>
        <v/>
      </c>
      <c r="AC10" s="3" t="str">
        <f t="shared" si="3"/>
        <v/>
      </c>
      <c r="AD10" s="3" t="str">
        <f t="shared" si="3"/>
        <v/>
      </c>
      <c r="AE10" s="3" t="str">
        <f t="shared" si="3"/>
        <v/>
      </c>
      <c r="AF10" s="3" t="str">
        <f t="shared" si="3"/>
        <v/>
      </c>
      <c r="AG10" s="3" t="str">
        <f t="shared" si="3"/>
        <v/>
      </c>
      <c r="AH10" s="3" t="str">
        <f t="shared" si="3"/>
        <v/>
      </c>
      <c r="AI10" s="3" t="str">
        <f t="shared" si="3"/>
        <v/>
      </c>
      <c r="AJ10" s="3" t="str">
        <f t="shared" si="3"/>
        <v/>
      </c>
      <c r="AK10" s="3" t="str">
        <f t="shared" si="4"/>
        <v/>
      </c>
      <c r="AL10" s="3" t="str">
        <f t="shared" si="4"/>
        <v/>
      </c>
      <c r="AM10" s="3" t="str">
        <f t="shared" si="4"/>
        <v/>
      </c>
      <c r="AN10" s="3" t="str">
        <f t="shared" si="4"/>
        <v/>
      </c>
      <c r="AO10" s="3" t="str">
        <f t="shared" si="4"/>
        <v/>
      </c>
      <c r="AP10" s="3" t="str">
        <f t="shared" si="4"/>
        <v/>
      </c>
      <c r="AQ10" s="3">
        <f t="shared" si="4"/>
        <v>1</v>
      </c>
      <c r="AR10" s="3">
        <f t="shared" si="4"/>
        <v>1</v>
      </c>
      <c r="AS10" s="3">
        <f t="shared" si="4"/>
        <v>1</v>
      </c>
      <c r="AT10" s="3">
        <f t="shared" si="4"/>
        <v>1</v>
      </c>
      <c r="AU10" s="3">
        <f t="shared" si="5"/>
        <v>1</v>
      </c>
      <c r="AV10" s="3" t="str">
        <f t="shared" si="5"/>
        <v/>
      </c>
      <c r="AW10" s="3" t="str">
        <f t="shared" si="5"/>
        <v/>
      </c>
      <c r="AX10" s="3" t="str">
        <f t="shared" si="5"/>
        <v/>
      </c>
      <c r="AY10" s="3" t="str">
        <f t="shared" si="5"/>
        <v/>
      </c>
      <c r="AZ10" s="3" t="str">
        <f t="shared" si="5"/>
        <v/>
      </c>
      <c r="BA10" s="3" t="str">
        <f t="shared" si="5"/>
        <v/>
      </c>
      <c r="BB10" s="3" t="str">
        <f t="shared" si="5"/>
        <v/>
      </c>
      <c r="BC10" s="3" t="str">
        <f t="shared" si="5"/>
        <v/>
      </c>
      <c r="BD10" s="3" t="str">
        <f t="shared" si="5"/>
        <v/>
      </c>
      <c r="BE10" s="3" t="str">
        <f t="shared" si="5"/>
        <v/>
      </c>
    </row>
    <row r="11" spans="1:57" ht="20.100000000000001" customHeight="1">
      <c r="A11">
        <v>8</v>
      </c>
      <c r="B11" t="s">
        <v>18</v>
      </c>
      <c r="C11" t="s">
        <v>17</v>
      </c>
      <c r="D11">
        <f t="shared" si="6"/>
        <v>41</v>
      </c>
      <c r="E11">
        <v>3</v>
      </c>
      <c r="F11">
        <f t="shared" si="0"/>
        <v>44</v>
      </c>
      <c r="G11" s="3" t="str">
        <f t="shared" si="1"/>
        <v/>
      </c>
      <c r="H11" s="3" t="str">
        <f t="shared" si="1"/>
        <v/>
      </c>
      <c r="I11" s="3" t="str">
        <f t="shared" si="1"/>
        <v/>
      </c>
      <c r="J11" s="3" t="str">
        <f t="shared" si="1"/>
        <v/>
      </c>
      <c r="K11" s="3" t="str">
        <f t="shared" si="1"/>
        <v/>
      </c>
      <c r="L11" s="3" t="str">
        <f t="shared" si="1"/>
        <v/>
      </c>
      <c r="M11" s="3" t="str">
        <f t="shared" si="1"/>
        <v/>
      </c>
      <c r="N11" s="3" t="str">
        <f t="shared" si="1"/>
        <v/>
      </c>
      <c r="O11" s="3" t="str">
        <f t="shared" si="1"/>
        <v/>
      </c>
      <c r="P11" s="3" t="str">
        <f t="shared" si="1"/>
        <v/>
      </c>
      <c r="Q11" s="3" t="str">
        <f t="shared" si="2"/>
        <v/>
      </c>
      <c r="R11" s="3" t="str">
        <f t="shared" si="2"/>
        <v/>
      </c>
      <c r="S11" s="3" t="str">
        <f t="shared" si="2"/>
        <v/>
      </c>
      <c r="T11" s="3" t="str">
        <f t="shared" si="2"/>
        <v/>
      </c>
      <c r="U11" s="3" t="str">
        <f t="shared" si="2"/>
        <v/>
      </c>
      <c r="V11" s="3" t="str">
        <f t="shared" si="2"/>
        <v/>
      </c>
      <c r="W11" s="3" t="str">
        <f t="shared" si="2"/>
        <v/>
      </c>
      <c r="X11" s="3" t="str">
        <f t="shared" si="2"/>
        <v/>
      </c>
      <c r="Y11" s="3" t="str">
        <f t="shared" si="2"/>
        <v/>
      </c>
      <c r="Z11" s="3" t="str">
        <f t="shared" si="2"/>
        <v/>
      </c>
      <c r="AA11" s="3" t="str">
        <f t="shared" si="3"/>
        <v/>
      </c>
      <c r="AB11" s="3" t="str">
        <f t="shared" si="3"/>
        <v/>
      </c>
      <c r="AC11" s="3" t="str">
        <f t="shared" si="3"/>
        <v/>
      </c>
      <c r="AD11" s="3" t="str">
        <f t="shared" si="3"/>
        <v/>
      </c>
      <c r="AE11" s="3" t="str">
        <f t="shared" si="3"/>
        <v/>
      </c>
      <c r="AF11" s="3" t="str">
        <f t="shared" si="3"/>
        <v/>
      </c>
      <c r="AG11" s="3" t="str">
        <f t="shared" si="3"/>
        <v/>
      </c>
      <c r="AH11" s="3" t="str">
        <f t="shared" si="3"/>
        <v/>
      </c>
      <c r="AI11" s="3" t="str">
        <f t="shared" si="3"/>
        <v/>
      </c>
      <c r="AJ11" s="3" t="str">
        <f t="shared" si="3"/>
        <v/>
      </c>
      <c r="AK11" s="3" t="str">
        <f t="shared" si="4"/>
        <v/>
      </c>
      <c r="AL11" s="3" t="str">
        <f t="shared" si="4"/>
        <v/>
      </c>
      <c r="AM11" s="3" t="str">
        <f t="shared" si="4"/>
        <v/>
      </c>
      <c r="AN11" s="3" t="str">
        <f t="shared" si="4"/>
        <v/>
      </c>
      <c r="AO11" s="3" t="str">
        <f t="shared" si="4"/>
        <v/>
      </c>
      <c r="AP11" s="3" t="str">
        <f t="shared" si="4"/>
        <v/>
      </c>
      <c r="AQ11" s="3" t="str">
        <f t="shared" si="4"/>
        <v/>
      </c>
      <c r="AR11" s="3" t="str">
        <f t="shared" si="4"/>
        <v/>
      </c>
      <c r="AS11" s="3" t="str">
        <f t="shared" si="4"/>
        <v/>
      </c>
      <c r="AT11" s="3" t="str">
        <f t="shared" si="4"/>
        <v/>
      </c>
      <c r="AU11" s="3" t="str">
        <f t="shared" si="5"/>
        <v/>
      </c>
      <c r="AV11" s="3">
        <f t="shared" si="5"/>
        <v>1</v>
      </c>
      <c r="AW11" s="3">
        <f t="shared" si="5"/>
        <v>1</v>
      </c>
      <c r="AX11" s="3">
        <f t="shared" si="5"/>
        <v>1</v>
      </c>
      <c r="AY11" s="3" t="str">
        <f t="shared" si="5"/>
        <v/>
      </c>
      <c r="AZ11" s="3" t="str">
        <f t="shared" si="5"/>
        <v/>
      </c>
      <c r="BA11" s="3" t="str">
        <f t="shared" si="5"/>
        <v/>
      </c>
      <c r="BB11" s="3" t="str">
        <f t="shared" si="5"/>
        <v/>
      </c>
      <c r="BC11" s="3" t="str">
        <f t="shared" si="5"/>
        <v/>
      </c>
      <c r="BD11" s="3" t="str">
        <f t="shared" si="5"/>
        <v/>
      </c>
      <c r="BE11" s="3" t="str">
        <f t="shared" si="5"/>
        <v/>
      </c>
    </row>
    <row r="12" spans="1:57" ht="20.100000000000001" customHeight="1">
      <c r="A12">
        <v>9</v>
      </c>
      <c r="B12" t="s">
        <v>19</v>
      </c>
      <c r="C12" t="s">
        <v>17</v>
      </c>
      <c r="D12">
        <f t="shared" si="6"/>
        <v>44</v>
      </c>
      <c r="E12">
        <v>2</v>
      </c>
      <c r="F12">
        <f t="shared" si="0"/>
        <v>46</v>
      </c>
      <c r="G12" s="3" t="str">
        <f t="shared" si="1"/>
        <v/>
      </c>
      <c r="H12" s="3" t="str">
        <f t="shared" si="1"/>
        <v/>
      </c>
      <c r="I12" s="3" t="str">
        <f t="shared" si="1"/>
        <v/>
      </c>
      <c r="J12" s="3" t="str">
        <f t="shared" si="1"/>
        <v/>
      </c>
      <c r="K12" s="3" t="str">
        <f t="shared" si="1"/>
        <v/>
      </c>
      <c r="L12" s="3" t="str">
        <f t="shared" si="1"/>
        <v/>
      </c>
      <c r="M12" s="3" t="str">
        <f t="shared" si="1"/>
        <v/>
      </c>
      <c r="N12" s="3" t="str">
        <f t="shared" si="1"/>
        <v/>
      </c>
      <c r="O12" s="3" t="str">
        <f t="shared" si="1"/>
        <v/>
      </c>
      <c r="P12" s="3" t="str">
        <f t="shared" si="1"/>
        <v/>
      </c>
      <c r="Q12" s="3" t="str">
        <f t="shared" si="2"/>
        <v/>
      </c>
      <c r="R12" s="3" t="str">
        <f t="shared" si="2"/>
        <v/>
      </c>
      <c r="S12" s="3" t="str">
        <f t="shared" si="2"/>
        <v/>
      </c>
      <c r="T12" s="3" t="str">
        <f t="shared" si="2"/>
        <v/>
      </c>
      <c r="U12" s="3" t="str">
        <f t="shared" si="2"/>
        <v/>
      </c>
      <c r="V12" s="3" t="str">
        <f t="shared" si="2"/>
        <v/>
      </c>
      <c r="W12" s="3" t="str">
        <f t="shared" si="2"/>
        <v/>
      </c>
      <c r="X12" s="3" t="str">
        <f t="shared" si="2"/>
        <v/>
      </c>
      <c r="Y12" s="3" t="str">
        <f t="shared" si="2"/>
        <v/>
      </c>
      <c r="Z12" s="3" t="str">
        <f t="shared" si="2"/>
        <v/>
      </c>
      <c r="AA12" s="3" t="str">
        <f t="shared" si="3"/>
        <v/>
      </c>
      <c r="AB12" s="3" t="str">
        <f t="shared" si="3"/>
        <v/>
      </c>
      <c r="AC12" s="3" t="str">
        <f t="shared" si="3"/>
        <v/>
      </c>
      <c r="AD12" s="3" t="str">
        <f t="shared" si="3"/>
        <v/>
      </c>
      <c r="AE12" s="3" t="str">
        <f t="shared" si="3"/>
        <v/>
      </c>
      <c r="AF12" s="3" t="str">
        <f t="shared" si="3"/>
        <v/>
      </c>
      <c r="AG12" s="3" t="str">
        <f t="shared" si="3"/>
        <v/>
      </c>
      <c r="AH12" s="3" t="str">
        <f t="shared" si="3"/>
        <v/>
      </c>
      <c r="AI12" s="3" t="str">
        <f t="shared" si="3"/>
        <v/>
      </c>
      <c r="AJ12" s="3" t="str">
        <f t="shared" si="3"/>
        <v/>
      </c>
      <c r="AK12" s="3" t="str">
        <f t="shared" si="4"/>
        <v/>
      </c>
      <c r="AL12" s="3" t="str">
        <f t="shared" si="4"/>
        <v/>
      </c>
      <c r="AM12" s="3" t="str">
        <f t="shared" si="4"/>
        <v/>
      </c>
      <c r="AN12" s="3" t="str">
        <f t="shared" si="4"/>
        <v/>
      </c>
      <c r="AO12" s="3" t="str">
        <f t="shared" si="4"/>
        <v/>
      </c>
      <c r="AP12" s="3" t="str">
        <f t="shared" si="4"/>
        <v/>
      </c>
      <c r="AQ12" s="3" t="str">
        <f t="shared" si="4"/>
        <v/>
      </c>
      <c r="AR12" s="3" t="str">
        <f t="shared" si="4"/>
        <v/>
      </c>
      <c r="AS12" s="3" t="str">
        <f t="shared" si="4"/>
        <v/>
      </c>
      <c r="AT12" s="3" t="str">
        <f t="shared" si="4"/>
        <v/>
      </c>
      <c r="AU12" s="3" t="str">
        <f t="shared" si="5"/>
        <v/>
      </c>
      <c r="AV12" s="3" t="str">
        <f t="shared" si="5"/>
        <v/>
      </c>
      <c r="AW12" s="3" t="str">
        <f t="shared" si="5"/>
        <v/>
      </c>
      <c r="AX12" s="3" t="str">
        <f t="shared" si="5"/>
        <v/>
      </c>
      <c r="AY12" s="3">
        <f t="shared" si="5"/>
        <v>1</v>
      </c>
      <c r="AZ12" s="3">
        <f t="shared" si="5"/>
        <v>1</v>
      </c>
      <c r="BA12" s="3" t="str">
        <f t="shared" si="5"/>
        <v/>
      </c>
      <c r="BB12" s="3" t="str">
        <f t="shared" si="5"/>
        <v/>
      </c>
      <c r="BC12" s="3" t="str">
        <f t="shared" si="5"/>
        <v/>
      </c>
      <c r="BD12" s="3" t="str">
        <f t="shared" si="5"/>
        <v/>
      </c>
      <c r="BE12" s="3" t="str">
        <f t="shared" si="5"/>
        <v/>
      </c>
    </row>
    <row r="13" spans="1:57" ht="20.100000000000001" customHeight="1"/>
    <row r="14" spans="1:57" ht="20.100000000000001" customHeight="1">
      <c r="A14" s="57" t="s">
        <v>20</v>
      </c>
      <c r="B14" s="57"/>
      <c r="C14" s="57"/>
      <c r="D14" s="1">
        <f>SUM(E4:E12)</f>
        <v>46</v>
      </c>
      <c r="E14" s="1" t="s">
        <v>21</v>
      </c>
    </row>
    <row r="15" spans="1:57" ht="20.100000000000001" customHeight="1"/>
    <row r="16" spans="1:57" ht="36" customHeight="1">
      <c r="A16" s="58" t="s">
        <v>22</v>
      </c>
      <c r="B16" s="55"/>
      <c r="C16" s="55"/>
      <c r="D16" s="55"/>
      <c r="E16" s="55"/>
      <c r="F16" s="55"/>
    </row>
    <row r="17" spans="1:57" ht="15" customHeight="1">
      <c r="A17" s="55"/>
      <c r="B17" s="55"/>
      <c r="C17" s="55"/>
      <c r="D17" s="55"/>
      <c r="E17" s="55"/>
      <c r="F17" s="55"/>
    </row>
    <row r="18" spans="1:57" ht="15" customHeight="1">
      <c r="A18" s="55"/>
      <c r="B18" s="55"/>
      <c r="C18" s="55"/>
      <c r="D18" s="55"/>
      <c r="E18" s="55"/>
      <c r="F18" s="55"/>
    </row>
    <row r="19" spans="1:57" ht="20.100000000000001" customHeight="1"/>
    <row r="20" spans="1:57" ht="9.9499999999999993" customHeight="1"/>
    <row r="21" spans="1:57" ht="18.75">
      <c r="A21" s="54" t="s">
        <v>23</v>
      </c>
      <c r="B21" s="55"/>
      <c r="C21" s="55"/>
      <c r="D21" s="55"/>
      <c r="E21" s="55"/>
    </row>
    <row r="22" spans="1:57" ht="20.100000000000001" customHeight="1"/>
    <row r="23" spans="1:57" ht="20.100000000000001" customHeight="1">
      <c r="A23" s="1" t="s">
        <v>24</v>
      </c>
      <c r="B23" s="1" t="s">
        <v>25</v>
      </c>
      <c r="C23" s="1" t="s">
        <v>4</v>
      </c>
      <c r="D23" s="1" t="s">
        <v>5</v>
      </c>
      <c r="E23" s="1" t="s">
        <v>6</v>
      </c>
      <c r="G23" s="2">
        <v>0</v>
      </c>
      <c r="H23" s="2">
        <v>1</v>
      </c>
      <c r="I23" s="2">
        <v>2</v>
      </c>
      <c r="J23" s="2">
        <v>3</v>
      </c>
      <c r="K23" s="2">
        <v>4</v>
      </c>
      <c r="L23" s="2">
        <v>5</v>
      </c>
      <c r="M23" s="2">
        <v>6</v>
      </c>
      <c r="N23" s="2">
        <v>7</v>
      </c>
      <c r="O23" s="2">
        <v>8</v>
      </c>
      <c r="P23" s="2">
        <v>9</v>
      </c>
      <c r="Q23" s="2">
        <v>10</v>
      </c>
      <c r="R23" s="2">
        <v>11</v>
      </c>
      <c r="S23" s="2">
        <v>12</v>
      </c>
      <c r="T23" s="2">
        <v>13</v>
      </c>
      <c r="U23" s="2">
        <v>14</v>
      </c>
      <c r="V23" s="2">
        <v>15</v>
      </c>
      <c r="W23" s="2">
        <v>16</v>
      </c>
      <c r="X23" s="2">
        <v>17</v>
      </c>
      <c r="Y23" s="2">
        <v>18</v>
      </c>
      <c r="Z23" s="2">
        <v>19</v>
      </c>
      <c r="AA23" s="2">
        <v>20</v>
      </c>
      <c r="AB23" s="2">
        <v>21</v>
      </c>
      <c r="AC23" s="2">
        <v>22</v>
      </c>
      <c r="AD23" s="2">
        <v>23</v>
      </c>
      <c r="AE23" s="2">
        <v>24</v>
      </c>
      <c r="AF23" s="2">
        <v>25</v>
      </c>
      <c r="AG23" s="2">
        <v>26</v>
      </c>
      <c r="AH23" s="2">
        <v>27</v>
      </c>
      <c r="AI23" s="2">
        <v>28</v>
      </c>
      <c r="AJ23" s="2">
        <v>29</v>
      </c>
      <c r="AK23" s="2">
        <v>30</v>
      </c>
      <c r="AL23" s="2">
        <v>31</v>
      </c>
      <c r="AM23" s="2">
        <v>32</v>
      </c>
      <c r="AN23" s="2">
        <v>33</v>
      </c>
      <c r="AO23" s="2">
        <v>34</v>
      </c>
      <c r="AP23" s="2">
        <v>35</v>
      </c>
      <c r="AQ23" s="2">
        <v>36</v>
      </c>
      <c r="AR23" s="2">
        <v>37</v>
      </c>
      <c r="AS23" s="2">
        <v>38</v>
      </c>
      <c r="AT23" s="2">
        <v>39</v>
      </c>
      <c r="AU23" s="2">
        <v>40</v>
      </c>
      <c r="AV23" s="2">
        <v>41</v>
      </c>
      <c r="AW23" s="2">
        <v>42</v>
      </c>
      <c r="AX23" s="2">
        <v>43</v>
      </c>
      <c r="AY23" s="2">
        <v>44</v>
      </c>
      <c r="AZ23" s="2">
        <v>45</v>
      </c>
      <c r="BA23" s="2">
        <v>46</v>
      </c>
      <c r="BB23" s="2">
        <v>47</v>
      </c>
      <c r="BC23" s="2">
        <v>48</v>
      </c>
      <c r="BD23" s="2">
        <v>49</v>
      </c>
      <c r="BE23" s="2">
        <v>50</v>
      </c>
    </row>
    <row r="24" spans="1:57" ht="20.100000000000001" customHeight="1">
      <c r="A24" t="s">
        <v>8</v>
      </c>
      <c r="B24" t="s">
        <v>26</v>
      </c>
      <c r="C24">
        <f>MIN('Gantt actividades'!D4:D7)</f>
        <v>0</v>
      </c>
      <c r="D24">
        <f>SUM('Gantt actividades'!E4:E7)</f>
        <v>18</v>
      </c>
      <c r="E24">
        <f t="shared" ref="E24:E33" si="7">C24+D24</f>
        <v>18</v>
      </c>
      <c r="G24" s="3">
        <f t="shared" ref="G24:P33" si="8">IF(AND(G$23&gt;=$C24,G$23&lt;$E24),1,"")</f>
        <v>1</v>
      </c>
      <c r="H24" s="3">
        <f t="shared" si="8"/>
        <v>1</v>
      </c>
      <c r="I24" s="3">
        <f t="shared" si="8"/>
        <v>1</v>
      </c>
      <c r="J24" s="3">
        <f t="shared" si="8"/>
        <v>1</v>
      </c>
      <c r="K24" s="3">
        <f t="shared" si="8"/>
        <v>1</v>
      </c>
      <c r="L24" s="3">
        <f t="shared" si="8"/>
        <v>1</v>
      </c>
      <c r="M24" s="3">
        <f t="shared" si="8"/>
        <v>1</v>
      </c>
      <c r="N24" s="3">
        <f t="shared" si="8"/>
        <v>1</v>
      </c>
      <c r="O24" s="3">
        <f t="shared" si="8"/>
        <v>1</v>
      </c>
      <c r="P24" s="3">
        <f t="shared" si="8"/>
        <v>1</v>
      </c>
      <c r="Q24" s="3">
        <f t="shared" ref="Q24:Z33" si="9">IF(AND(Q$23&gt;=$C24,Q$23&lt;$E24),1,"")</f>
        <v>1</v>
      </c>
      <c r="R24" s="3">
        <f t="shared" si="9"/>
        <v>1</v>
      </c>
      <c r="S24" s="3">
        <f t="shared" si="9"/>
        <v>1</v>
      </c>
      <c r="T24" s="3">
        <f t="shared" si="9"/>
        <v>1</v>
      </c>
      <c r="U24" s="3">
        <f t="shared" si="9"/>
        <v>1</v>
      </c>
      <c r="V24" s="3">
        <f t="shared" si="9"/>
        <v>1</v>
      </c>
      <c r="W24" s="3">
        <f t="shared" si="9"/>
        <v>1</v>
      </c>
      <c r="X24" s="3">
        <f t="shared" si="9"/>
        <v>1</v>
      </c>
      <c r="Y24" s="3" t="str">
        <f t="shared" si="9"/>
        <v/>
      </c>
      <c r="Z24" s="3" t="str">
        <f t="shared" si="9"/>
        <v/>
      </c>
      <c r="AA24" s="3" t="str">
        <f t="shared" ref="AA24:AJ33" si="10">IF(AND(AA$23&gt;=$C24,AA$23&lt;$E24),1,"")</f>
        <v/>
      </c>
      <c r="AB24" s="3" t="str">
        <f t="shared" si="10"/>
        <v/>
      </c>
      <c r="AC24" s="3" t="str">
        <f t="shared" si="10"/>
        <v/>
      </c>
      <c r="AD24" s="3" t="str">
        <f t="shared" si="10"/>
        <v/>
      </c>
      <c r="AE24" s="3" t="str">
        <f t="shared" si="10"/>
        <v/>
      </c>
      <c r="AF24" s="3" t="str">
        <f t="shared" si="10"/>
        <v/>
      </c>
      <c r="AG24" s="3" t="str">
        <f t="shared" si="10"/>
        <v/>
      </c>
      <c r="AH24" s="3" t="str">
        <f t="shared" si="10"/>
        <v/>
      </c>
      <c r="AI24" s="3" t="str">
        <f t="shared" si="10"/>
        <v/>
      </c>
      <c r="AJ24" s="3" t="str">
        <f t="shared" si="10"/>
        <v/>
      </c>
      <c r="AK24" s="3" t="str">
        <f t="shared" ref="AK24:AT33" si="11">IF(AND(AK$23&gt;=$C24,AK$23&lt;$E24),1,"")</f>
        <v/>
      </c>
      <c r="AL24" s="3" t="str">
        <f t="shared" si="11"/>
        <v/>
      </c>
      <c r="AM24" s="3" t="str">
        <f t="shared" si="11"/>
        <v/>
      </c>
      <c r="AN24" s="3" t="str">
        <f t="shared" si="11"/>
        <v/>
      </c>
      <c r="AO24" s="3" t="str">
        <f t="shared" si="11"/>
        <v/>
      </c>
      <c r="AP24" s="3" t="str">
        <f t="shared" si="11"/>
        <v/>
      </c>
      <c r="AQ24" s="3" t="str">
        <f t="shared" si="11"/>
        <v/>
      </c>
      <c r="AR24" s="3" t="str">
        <f t="shared" si="11"/>
        <v/>
      </c>
      <c r="AS24" s="3" t="str">
        <f t="shared" si="11"/>
        <v/>
      </c>
      <c r="AT24" s="3" t="str">
        <f t="shared" si="11"/>
        <v/>
      </c>
      <c r="AU24" s="3" t="str">
        <f t="shared" ref="AU24:BE33" si="12">IF(AND(AU$23&gt;=$C24,AU$23&lt;$E24),1,"")</f>
        <v/>
      </c>
      <c r="AV24" s="3" t="str">
        <f t="shared" si="12"/>
        <v/>
      </c>
      <c r="AW24" s="3" t="str">
        <f t="shared" si="12"/>
        <v/>
      </c>
      <c r="AX24" s="3" t="str">
        <f t="shared" si="12"/>
        <v/>
      </c>
      <c r="AY24" s="3" t="str">
        <f t="shared" si="12"/>
        <v/>
      </c>
      <c r="AZ24" s="3" t="str">
        <f t="shared" si="12"/>
        <v/>
      </c>
      <c r="BA24" s="3" t="str">
        <f t="shared" si="12"/>
        <v/>
      </c>
      <c r="BB24" s="3" t="str">
        <f t="shared" si="12"/>
        <v/>
      </c>
      <c r="BC24" s="3" t="str">
        <f t="shared" si="12"/>
        <v/>
      </c>
      <c r="BD24" s="3" t="str">
        <f t="shared" si="12"/>
        <v/>
      </c>
      <c r="BE24" s="3" t="str">
        <f t="shared" si="12"/>
        <v/>
      </c>
    </row>
    <row r="25" spans="1:57" ht="20.100000000000001" customHeight="1">
      <c r="A25" t="s">
        <v>13</v>
      </c>
      <c r="B25" t="s">
        <v>27</v>
      </c>
      <c r="C25">
        <f>'Gantt actividades'!D8</f>
        <v>18</v>
      </c>
      <c r="D25">
        <f>'Gantt actividades'!E8</f>
        <v>10</v>
      </c>
      <c r="E25">
        <f t="shared" si="7"/>
        <v>28</v>
      </c>
      <c r="G25" s="3" t="str">
        <f t="shared" si="8"/>
        <v/>
      </c>
      <c r="H25" s="3" t="str">
        <f t="shared" si="8"/>
        <v/>
      </c>
      <c r="I25" s="3" t="str">
        <f t="shared" si="8"/>
        <v/>
      </c>
      <c r="J25" s="3" t="str">
        <f t="shared" si="8"/>
        <v/>
      </c>
      <c r="K25" s="3" t="str">
        <f t="shared" si="8"/>
        <v/>
      </c>
      <c r="L25" s="3" t="str">
        <f t="shared" si="8"/>
        <v/>
      </c>
      <c r="M25" s="3" t="str">
        <f t="shared" si="8"/>
        <v/>
      </c>
      <c r="N25" s="3" t="str">
        <f t="shared" si="8"/>
        <v/>
      </c>
      <c r="O25" s="3" t="str">
        <f t="shared" si="8"/>
        <v/>
      </c>
      <c r="P25" s="3" t="str">
        <f t="shared" si="8"/>
        <v/>
      </c>
      <c r="Q25" s="3" t="str">
        <f t="shared" si="9"/>
        <v/>
      </c>
      <c r="R25" s="3" t="str">
        <f t="shared" si="9"/>
        <v/>
      </c>
      <c r="S25" s="3" t="str">
        <f t="shared" si="9"/>
        <v/>
      </c>
      <c r="T25" s="3" t="str">
        <f t="shared" si="9"/>
        <v/>
      </c>
      <c r="U25" s="3" t="str">
        <f t="shared" si="9"/>
        <v/>
      </c>
      <c r="V25" s="3" t="str">
        <f t="shared" si="9"/>
        <v/>
      </c>
      <c r="W25" s="3" t="str">
        <f t="shared" si="9"/>
        <v/>
      </c>
      <c r="X25" s="3" t="str">
        <f t="shared" si="9"/>
        <v/>
      </c>
      <c r="Y25" s="3">
        <f t="shared" si="9"/>
        <v>1</v>
      </c>
      <c r="Z25" s="3">
        <f t="shared" si="9"/>
        <v>1</v>
      </c>
      <c r="AA25" s="3">
        <f t="shared" si="10"/>
        <v>1</v>
      </c>
      <c r="AB25" s="3">
        <f t="shared" si="10"/>
        <v>1</v>
      </c>
      <c r="AC25" s="3">
        <f t="shared" si="10"/>
        <v>1</v>
      </c>
      <c r="AD25" s="3">
        <f t="shared" si="10"/>
        <v>1</v>
      </c>
      <c r="AE25" s="3">
        <f t="shared" si="10"/>
        <v>1</v>
      </c>
      <c r="AF25" s="3">
        <f t="shared" si="10"/>
        <v>1</v>
      </c>
      <c r="AG25" s="3">
        <f t="shared" si="10"/>
        <v>1</v>
      </c>
      <c r="AH25" s="3">
        <f t="shared" si="10"/>
        <v>1</v>
      </c>
      <c r="AI25" s="3" t="str">
        <f t="shared" si="10"/>
        <v/>
      </c>
      <c r="AJ25" s="3" t="str">
        <f t="shared" si="10"/>
        <v/>
      </c>
      <c r="AK25" s="3" t="str">
        <f t="shared" si="11"/>
        <v/>
      </c>
      <c r="AL25" s="3" t="str">
        <f t="shared" si="11"/>
        <v/>
      </c>
      <c r="AM25" s="3" t="str">
        <f t="shared" si="11"/>
        <v/>
      </c>
      <c r="AN25" s="3" t="str">
        <f t="shared" si="11"/>
        <v/>
      </c>
      <c r="AO25" s="3" t="str">
        <f t="shared" si="11"/>
        <v/>
      </c>
      <c r="AP25" s="3" t="str">
        <f t="shared" si="11"/>
        <v/>
      </c>
      <c r="AQ25" s="3" t="str">
        <f t="shared" si="11"/>
        <v/>
      </c>
      <c r="AR25" s="3" t="str">
        <f t="shared" si="11"/>
        <v/>
      </c>
      <c r="AS25" s="3" t="str">
        <f t="shared" si="11"/>
        <v/>
      </c>
      <c r="AT25" s="3" t="str">
        <f t="shared" si="11"/>
        <v/>
      </c>
      <c r="AU25" s="3" t="str">
        <f t="shared" si="12"/>
        <v/>
      </c>
      <c r="AV25" s="3" t="str">
        <f t="shared" si="12"/>
        <v/>
      </c>
      <c r="AW25" s="3" t="str">
        <f t="shared" si="12"/>
        <v/>
      </c>
      <c r="AX25" s="3" t="str">
        <f t="shared" si="12"/>
        <v/>
      </c>
      <c r="AY25" s="3" t="str">
        <f t="shared" si="12"/>
        <v/>
      </c>
      <c r="AZ25" s="3" t="str">
        <f t="shared" si="12"/>
        <v/>
      </c>
      <c r="BA25" s="3" t="str">
        <f t="shared" si="12"/>
        <v/>
      </c>
      <c r="BB25" s="3" t="str">
        <f t="shared" si="12"/>
        <v/>
      </c>
      <c r="BC25" s="3" t="str">
        <f t="shared" si="12"/>
        <v/>
      </c>
      <c r="BD25" s="3" t="str">
        <f t="shared" si="12"/>
        <v/>
      </c>
      <c r="BE25" s="3" t="str">
        <f t="shared" si="12"/>
        <v/>
      </c>
    </row>
    <row r="26" spans="1:57" ht="20.100000000000001" customHeight="1">
      <c r="A26" t="s">
        <v>15</v>
      </c>
      <c r="B26" t="s">
        <v>28</v>
      </c>
      <c r="C26">
        <f>'Gantt actividades'!D9</f>
        <v>28</v>
      </c>
      <c r="D26">
        <f>'Gantt actividades'!E9</f>
        <v>8</v>
      </c>
      <c r="E26">
        <f t="shared" si="7"/>
        <v>36</v>
      </c>
      <c r="G26" s="3" t="str">
        <f t="shared" si="8"/>
        <v/>
      </c>
      <c r="H26" s="3" t="str">
        <f t="shared" si="8"/>
        <v/>
      </c>
      <c r="I26" s="3" t="str">
        <f t="shared" si="8"/>
        <v/>
      </c>
      <c r="J26" s="3" t="str">
        <f t="shared" si="8"/>
        <v/>
      </c>
      <c r="K26" s="3" t="str">
        <f t="shared" si="8"/>
        <v/>
      </c>
      <c r="L26" s="3" t="str">
        <f t="shared" si="8"/>
        <v/>
      </c>
      <c r="M26" s="3" t="str">
        <f t="shared" si="8"/>
        <v/>
      </c>
      <c r="N26" s="3" t="str">
        <f t="shared" si="8"/>
        <v/>
      </c>
      <c r="O26" s="3" t="str">
        <f t="shared" si="8"/>
        <v/>
      </c>
      <c r="P26" s="3" t="str">
        <f t="shared" si="8"/>
        <v/>
      </c>
      <c r="Q26" s="3" t="str">
        <f t="shared" si="9"/>
        <v/>
      </c>
      <c r="R26" s="3" t="str">
        <f t="shared" si="9"/>
        <v/>
      </c>
      <c r="S26" s="3" t="str">
        <f t="shared" si="9"/>
        <v/>
      </c>
      <c r="T26" s="3" t="str">
        <f t="shared" si="9"/>
        <v/>
      </c>
      <c r="U26" s="3" t="str">
        <f t="shared" si="9"/>
        <v/>
      </c>
      <c r="V26" s="3" t="str">
        <f t="shared" si="9"/>
        <v/>
      </c>
      <c r="W26" s="3" t="str">
        <f t="shared" si="9"/>
        <v/>
      </c>
      <c r="X26" s="3" t="str">
        <f t="shared" si="9"/>
        <v/>
      </c>
      <c r="Y26" s="3" t="str">
        <f t="shared" si="9"/>
        <v/>
      </c>
      <c r="Z26" s="3" t="str">
        <f t="shared" si="9"/>
        <v/>
      </c>
      <c r="AA26" s="3" t="str">
        <f t="shared" si="10"/>
        <v/>
      </c>
      <c r="AB26" s="3" t="str">
        <f t="shared" si="10"/>
        <v/>
      </c>
      <c r="AC26" s="3" t="str">
        <f t="shared" si="10"/>
        <v/>
      </c>
      <c r="AD26" s="3" t="str">
        <f t="shared" si="10"/>
        <v/>
      </c>
      <c r="AE26" s="3" t="str">
        <f t="shared" si="10"/>
        <v/>
      </c>
      <c r="AF26" s="3" t="str">
        <f t="shared" si="10"/>
        <v/>
      </c>
      <c r="AG26" s="3" t="str">
        <f t="shared" si="10"/>
        <v/>
      </c>
      <c r="AH26" s="3" t="str">
        <f t="shared" si="10"/>
        <v/>
      </c>
      <c r="AI26" s="3">
        <f t="shared" si="10"/>
        <v>1</v>
      </c>
      <c r="AJ26" s="3">
        <f t="shared" si="10"/>
        <v>1</v>
      </c>
      <c r="AK26" s="3">
        <f t="shared" si="11"/>
        <v>1</v>
      </c>
      <c r="AL26" s="3">
        <f t="shared" si="11"/>
        <v>1</v>
      </c>
      <c r="AM26" s="3">
        <f t="shared" si="11"/>
        <v>1</v>
      </c>
      <c r="AN26" s="3">
        <f t="shared" si="11"/>
        <v>1</v>
      </c>
      <c r="AO26" s="3">
        <f t="shared" si="11"/>
        <v>1</v>
      </c>
      <c r="AP26" s="3">
        <f t="shared" si="11"/>
        <v>1</v>
      </c>
      <c r="AQ26" s="3" t="str">
        <f t="shared" si="11"/>
        <v/>
      </c>
      <c r="AR26" s="3" t="str">
        <f t="shared" si="11"/>
        <v/>
      </c>
      <c r="AS26" s="3" t="str">
        <f t="shared" si="11"/>
        <v/>
      </c>
      <c r="AT26" s="3" t="str">
        <f t="shared" si="11"/>
        <v/>
      </c>
      <c r="AU26" s="3" t="str">
        <f t="shared" si="12"/>
        <v/>
      </c>
      <c r="AV26" s="3" t="str">
        <f t="shared" si="12"/>
        <v/>
      </c>
      <c r="AW26" s="3" t="str">
        <f t="shared" si="12"/>
        <v/>
      </c>
      <c r="AX26" s="3" t="str">
        <f t="shared" si="12"/>
        <v/>
      </c>
      <c r="AY26" s="3" t="str">
        <f t="shared" si="12"/>
        <v/>
      </c>
      <c r="AZ26" s="3" t="str">
        <f t="shared" si="12"/>
        <v/>
      </c>
      <c r="BA26" s="3" t="str">
        <f t="shared" si="12"/>
        <v/>
      </c>
      <c r="BB26" s="3" t="str">
        <f t="shared" si="12"/>
        <v/>
      </c>
      <c r="BC26" s="3" t="str">
        <f t="shared" si="12"/>
        <v/>
      </c>
      <c r="BD26" s="3" t="str">
        <f t="shared" si="12"/>
        <v/>
      </c>
      <c r="BE26" s="3" t="str">
        <f t="shared" si="12"/>
        <v/>
      </c>
    </row>
    <row r="27" spans="1:57" ht="20.100000000000001" customHeight="1">
      <c r="A27" t="s">
        <v>17</v>
      </c>
      <c r="B27" t="s">
        <v>29</v>
      </c>
      <c r="C27">
        <f>'Gantt actividades'!D10</f>
        <v>36</v>
      </c>
      <c r="D27">
        <f>SUM('Gantt actividades'!E10:E12)</f>
        <v>10</v>
      </c>
      <c r="E27">
        <f t="shared" si="7"/>
        <v>46</v>
      </c>
      <c r="G27" s="3" t="str">
        <f t="shared" si="8"/>
        <v/>
      </c>
      <c r="H27" s="3" t="str">
        <f t="shared" si="8"/>
        <v/>
      </c>
      <c r="I27" s="3" t="str">
        <f t="shared" si="8"/>
        <v/>
      </c>
      <c r="J27" s="3" t="str">
        <f t="shared" si="8"/>
        <v/>
      </c>
      <c r="K27" s="3" t="str">
        <f t="shared" si="8"/>
        <v/>
      </c>
      <c r="L27" s="3" t="str">
        <f t="shared" si="8"/>
        <v/>
      </c>
      <c r="M27" s="3" t="str">
        <f t="shared" si="8"/>
        <v/>
      </c>
      <c r="N27" s="3" t="str">
        <f t="shared" si="8"/>
        <v/>
      </c>
      <c r="O27" s="3" t="str">
        <f t="shared" si="8"/>
        <v/>
      </c>
      <c r="P27" s="3" t="str">
        <f t="shared" si="8"/>
        <v/>
      </c>
      <c r="Q27" s="3" t="str">
        <f t="shared" si="9"/>
        <v/>
      </c>
      <c r="R27" s="3" t="str">
        <f t="shared" si="9"/>
        <v/>
      </c>
      <c r="S27" s="3" t="str">
        <f t="shared" si="9"/>
        <v/>
      </c>
      <c r="T27" s="3" t="str">
        <f t="shared" si="9"/>
        <v/>
      </c>
      <c r="U27" s="3" t="str">
        <f t="shared" si="9"/>
        <v/>
      </c>
      <c r="V27" s="3" t="str">
        <f t="shared" si="9"/>
        <v/>
      </c>
      <c r="W27" s="3" t="str">
        <f t="shared" si="9"/>
        <v/>
      </c>
      <c r="X27" s="3" t="str">
        <f t="shared" si="9"/>
        <v/>
      </c>
      <c r="Y27" s="3" t="str">
        <f t="shared" si="9"/>
        <v/>
      </c>
      <c r="Z27" s="3" t="str">
        <f t="shared" si="9"/>
        <v/>
      </c>
      <c r="AA27" s="3" t="str">
        <f t="shared" si="10"/>
        <v/>
      </c>
      <c r="AB27" s="3" t="str">
        <f t="shared" si="10"/>
        <v/>
      </c>
      <c r="AC27" s="3" t="str">
        <f t="shared" si="10"/>
        <v/>
      </c>
      <c r="AD27" s="3" t="str">
        <f t="shared" si="10"/>
        <v/>
      </c>
      <c r="AE27" s="3" t="str">
        <f t="shared" si="10"/>
        <v/>
      </c>
      <c r="AF27" s="3" t="str">
        <f t="shared" si="10"/>
        <v/>
      </c>
      <c r="AG27" s="3" t="str">
        <f t="shared" si="10"/>
        <v/>
      </c>
      <c r="AH27" s="3" t="str">
        <f t="shared" si="10"/>
        <v/>
      </c>
      <c r="AI27" s="3" t="str">
        <f t="shared" si="10"/>
        <v/>
      </c>
      <c r="AJ27" s="3" t="str">
        <f t="shared" si="10"/>
        <v/>
      </c>
      <c r="AK27" s="3" t="str">
        <f t="shared" si="11"/>
        <v/>
      </c>
      <c r="AL27" s="3" t="str">
        <f t="shared" si="11"/>
        <v/>
      </c>
      <c r="AM27" s="3" t="str">
        <f t="shared" si="11"/>
        <v/>
      </c>
      <c r="AN27" s="3" t="str">
        <f t="shared" si="11"/>
        <v/>
      </c>
      <c r="AO27" s="3" t="str">
        <f t="shared" si="11"/>
        <v/>
      </c>
      <c r="AP27" s="3" t="str">
        <f t="shared" si="11"/>
        <v/>
      </c>
      <c r="AQ27" s="3">
        <f t="shared" si="11"/>
        <v>1</v>
      </c>
      <c r="AR27" s="3">
        <f t="shared" si="11"/>
        <v>1</v>
      </c>
      <c r="AS27" s="3">
        <f t="shared" si="11"/>
        <v>1</v>
      </c>
      <c r="AT27" s="3">
        <f t="shared" si="11"/>
        <v>1</v>
      </c>
      <c r="AU27" s="3">
        <f t="shared" si="12"/>
        <v>1</v>
      </c>
      <c r="AV27" s="3">
        <f t="shared" si="12"/>
        <v>1</v>
      </c>
      <c r="AW27" s="3">
        <f t="shared" si="12"/>
        <v>1</v>
      </c>
      <c r="AX27" s="3">
        <f t="shared" si="12"/>
        <v>1</v>
      </c>
      <c r="AY27" s="3">
        <f t="shared" si="12"/>
        <v>1</v>
      </c>
      <c r="AZ27" s="3">
        <f t="shared" si="12"/>
        <v>1</v>
      </c>
      <c r="BA27" s="3" t="str">
        <f t="shared" si="12"/>
        <v/>
      </c>
      <c r="BB27" s="3" t="str">
        <f t="shared" si="12"/>
        <v/>
      </c>
      <c r="BC27" s="3" t="str">
        <f t="shared" si="12"/>
        <v/>
      </c>
      <c r="BD27" s="3" t="str">
        <f t="shared" si="12"/>
        <v/>
      </c>
      <c r="BE27" s="3" t="str">
        <f t="shared" si="12"/>
        <v/>
      </c>
    </row>
    <row r="28" spans="1:57" ht="20.100000000000001" customHeight="1">
      <c r="A28" t="s">
        <v>30</v>
      </c>
      <c r="B28" t="s">
        <v>27</v>
      </c>
      <c r="C28">
        <f>'Gantt actividades'!D8</f>
        <v>18</v>
      </c>
      <c r="D28">
        <f>'Gantt actividades'!E8</f>
        <v>10</v>
      </c>
      <c r="E28">
        <f t="shared" si="7"/>
        <v>28</v>
      </c>
      <c r="G28" s="3" t="str">
        <f t="shared" si="8"/>
        <v/>
      </c>
      <c r="H28" s="3" t="str">
        <f t="shared" si="8"/>
        <v/>
      </c>
      <c r="I28" s="3" t="str">
        <f t="shared" si="8"/>
        <v/>
      </c>
      <c r="J28" s="3" t="str">
        <f t="shared" si="8"/>
        <v/>
      </c>
      <c r="K28" s="3" t="str">
        <f t="shared" si="8"/>
        <v/>
      </c>
      <c r="L28" s="3" t="str">
        <f t="shared" si="8"/>
        <v/>
      </c>
      <c r="M28" s="3" t="str">
        <f t="shared" si="8"/>
        <v/>
      </c>
      <c r="N28" s="3" t="str">
        <f t="shared" si="8"/>
        <v/>
      </c>
      <c r="O28" s="3" t="str">
        <f t="shared" si="8"/>
        <v/>
      </c>
      <c r="P28" s="3" t="str">
        <f t="shared" si="8"/>
        <v/>
      </c>
      <c r="Q28" s="3" t="str">
        <f t="shared" si="9"/>
        <v/>
      </c>
      <c r="R28" s="3" t="str">
        <f t="shared" si="9"/>
        <v/>
      </c>
      <c r="S28" s="3" t="str">
        <f t="shared" si="9"/>
        <v/>
      </c>
      <c r="T28" s="3" t="str">
        <f t="shared" si="9"/>
        <v/>
      </c>
      <c r="U28" s="3" t="str">
        <f t="shared" si="9"/>
        <v/>
      </c>
      <c r="V28" s="3" t="str">
        <f t="shared" si="9"/>
        <v/>
      </c>
      <c r="W28" s="3" t="str">
        <f t="shared" si="9"/>
        <v/>
      </c>
      <c r="X28" s="3" t="str">
        <f t="shared" si="9"/>
        <v/>
      </c>
      <c r="Y28" s="3">
        <f t="shared" si="9"/>
        <v>1</v>
      </c>
      <c r="Z28" s="3">
        <f t="shared" si="9"/>
        <v>1</v>
      </c>
      <c r="AA28" s="3">
        <f t="shared" si="10"/>
        <v>1</v>
      </c>
      <c r="AB28" s="3">
        <f t="shared" si="10"/>
        <v>1</v>
      </c>
      <c r="AC28" s="3">
        <f t="shared" si="10"/>
        <v>1</v>
      </c>
      <c r="AD28" s="3">
        <f t="shared" si="10"/>
        <v>1</v>
      </c>
      <c r="AE28" s="3">
        <f t="shared" si="10"/>
        <v>1</v>
      </c>
      <c r="AF28" s="3">
        <f t="shared" si="10"/>
        <v>1</v>
      </c>
      <c r="AG28" s="3">
        <f t="shared" si="10"/>
        <v>1</v>
      </c>
      <c r="AH28" s="3">
        <f t="shared" si="10"/>
        <v>1</v>
      </c>
      <c r="AI28" s="3" t="str">
        <f t="shared" si="10"/>
        <v/>
      </c>
      <c r="AJ28" s="3" t="str">
        <f t="shared" si="10"/>
        <v/>
      </c>
      <c r="AK28" s="3" t="str">
        <f t="shared" si="11"/>
        <v/>
      </c>
      <c r="AL28" s="3" t="str">
        <f t="shared" si="11"/>
        <v/>
      </c>
      <c r="AM28" s="3" t="str">
        <f t="shared" si="11"/>
        <v/>
      </c>
      <c r="AN28" s="3" t="str">
        <f t="shared" si="11"/>
        <v/>
      </c>
      <c r="AO28" s="3" t="str">
        <f t="shared" si="11"/>
        <v/>
      </c>
      <c r="AP28" s="3" t="str">
        <f t="shared" si="11"/>
        <v/>
      </c>
      <c r="AQ28" s="3" t="str">
        <f t="shared" si="11"/>
        <v/>
      </c>
      <c r="AR28" s="3" t="str">
        <f t="shared" si="11"/>
        <v/>
      </c>
      <c r="AS28" s="3" t="str">
        <f t="shared" si="11"/>
        <v/>
      </c>
      <c r="AT28" s="3" t="str">
        <f t="shared" si="11"/>
        <v/>
      </c>
      <c r="AU28" s="3" t="str">
        <f t="shared" si="12"/>
        <v/>
      </c>
      <c r="AV28" s="3" t="str">
        <f t="shared" si="12"/>
        <v/>
      </c>
      <c r="AW28" s="3" t="str">
        <f t="shared" si="12"/>
        <v/>
      </c>
      <c r="AX28" s="3" t="str">
        <f t="shared" si="12"/>
        <v/>
      </c>
      <c r="AY28" s="3" t="str">
        <f t="shared" si="12"/>
        <v/>
      </c>
      <c r="AZ28" s="3" t="str">
        <f t="shared" si="12"/>
        <v/>
      </c>
      <c r="BA28" s="3" t="str">
        <f t="shared" si="12"/>
        <v/>
      </c>
      <c r="BB28" s="3" t="str">
        <f t="shared" si="12"/>
        <v/>
      </c>
      <c r="BC28" s="3" t="str">
        <f t="shared" si="12"/>
        <v/>
      </c>
      <c r="BD28" s="3" t="str">
        <f t="shared" si="12"/>
        <v/>
      </c>
      <c r="BE28" s="3" t="str">
        <f t="shared" si="12"/>
        <v/>
      </c>
    </row>
    <row r="29" spans="1:57" ht="20.100000000000001" customHeight="1">
      <c r="A29" t="s">
        <v>31</v>
      </c>
      <c r="B29" t="s">
        <v>28</v>
      </c>
      <c r="C29">
        <f>'Gantt actividades'!D9</f>
        <v>28</v>
      </c>
      <c r="D29">
        <f>'Gantt actividades'!E9</f>
        <v>8</v>
      </c>
      <c r="E29">
        <f t="shared" si="7"/>
        <v>36</v>
      </c>
      <c r="G29" s="3" t="str">
        <f t="shared" si="8"/>
        <v/>
      </c>
      <c r="H29" s="3" t="str">
        <f t="shared" si="8"/>
        <v/>
      </c>
      <c r="I29" s="3" t="str">
        <f t="shared" si="8"/>
        <v/>
      </c>
      <c r="J29" s="3" t="str">
        <f t="shared" si="8"/>
        <v/>
      </c>
      <c r="K29" s="3" t="str">
        <f t="shared" si="8"/>
        <v/>
      </c>
      <c r="L29" s="3" t="str">
        <f t="shared" si="8"/>
        <v/>
      </c>
      <c r="M29" s="3" t="str">
        <f t="shared" si="8"/>
        <v/>
      </c>
      <c r="N29" s="3" t="str">
        <f t="shared" si="8"/>
        <v/>
      </c>
      <c r="O29" s="3" t="str">
        <f t="shared" si="8"/>
        <v/>
      </c>
      <c r="P29" s="3" t="str">
        <f t="shared" si="8"/>
        <v/>
      </c>
      <c r="Q29" s="3" t="str">
        <f t="shared" si="9"/>
        <v/>
      </c>
      <c r="R29" s="3" t="str">
        <f t="shared" si="9"/>
        <v/>
      </c>
      <c r="S29" s="3" t="str">
        <f t="shared" si="9"/>
        <v/>
      </c>
      <c r="T29" s="3" t="str">
        <f t="shared" si="9"/>
        <v/>
      </c>
      <c r="U29" s="3" t="str">
        <f t="shared" si="9"/>
        <v/>
      </c>
      <c r="V29" s="3" t="str">
        <f t="shared" si="9"/>
        <v/>
      </c>
      <c r="W29" s="3" t="str">
        <f t="shared" si="9"/>
        <v/>
      </c>
      <c r="X29" s="3" t="str">
        <f t="shared" si="9"/>
        <v/>
      </c>
      <c r="Y29" s="3" t="str">
        <f t="shared" si="9"/>
        <v/>
      </c>
      <c r="Z29" s="3" t="str">
        <f t="shared" si="9"/>
        <v/>
      </c>
      <c r="AA29" s="3" t="str">
        <f t="shared" si="10"/>
        <v/>
      </c>
      <c r="AB29" s="3" t="str">
        <f t="shared" si="10"/>
        <v/>
      </c>
      <c r="AC29" s="3" t="str">
        <f t="shared" si="10"/>
        <v/>
      </c>
      <c r="AD29" s="3" t="str">
        <f t="shared" si="10"/>
        <v/>
      </c>
      <c r="AE29" s="3" t="str">
        <f t="shared" si="10"/>
        <v/>
      </c>
      <c r="AF29" s="3" t="str">
        <f t="shared" si="10"/>
        <v/>
      </c>
      <c r="AG29" s="3" t="str">
        <f t="shared" si="10"/>
        <v/>
      </c>
      <c r="AH29" s="3" t="str">
        <f t="shared" si="10"/>
        <v/>
      </c>
      <c r="AI29" s="3">
        <f t="shared" si="10"/>
        <v>1</v>
      </c>
      <c r="AJ29" s="3">
        <f t="shared" si="10"/>
        <v>1</v>
      </c>
      <c r="AK29" s="3">
        <f t="shared" si="11"/>
        <v>1</v>
      </c>
      <c r="AL29" s="3">
        <f t="shared" si="11"/>
        <v>1</v>
      </c>
      <c r="AM29" s="3">
        <f t="shared" si="11"/>
        <v>1</v>
      </c>
      <c r="AN29" s="3">
        <f t="shared" si="11"/>
        <v>1</v>
      </c>
      <c r="AO29" s="3">
        <f t="shared" si="11"/>
        <v>1</v>
      </c>
      <c r="AP29" s="3">
        <f t="shared" si="11"/>
        <v>1</v>
      </c>
      <c r="AQ29" s="3" t="str">
        <f t="shared" si="11"/>
        <v/>
      </c>
      <c r="AR29" s="3" t="str">
        <f t="shared" si="11"/>
        <v/>
      </c>
      <c r="AS29" s="3" t="str">
        <f t="shared" si="11"/>
        <v/>
      </c>
      <c r="AT29" s="3" t="str">
        <f t="shared" si="11"/>
        <v/>
      </c>
      <c r="AU29" s="3" t="str">
        <f t="shared" si="12"/>
        <v/>
      </c>
      <c r="AV29" s="3" t="str">
        <f t="shared" si="12"/>
        <v/>
      </c>
      <c r="AW29" s="3" t="str">
        <f t="shared" si="12"/>
        <v/>
      </c>
      <c r="AX29" s="3" t="str">
        <f t="shared" si="12"/>
        <v/>
      </c>
      <c r="AY29" s="3" t="str">
        <f t="shared" si="12"/>
        <v/>
      </c>
      <c r="AZ29" s="3" t="str">
        <f t="shared" si="12"/>
        <v/>
      </c>
      <c r="BA29" s="3" t="str">
        <f t="shared" si="12"/>
        <v/>
      </c>
      <c r="BB29" s="3" t="str">
        <f t="shared" si="12"/>
        <v/>
      </c>
      <c r="BC29" s="3" t="str">
        <f t="shared" si="12"/>
        <v/>
      </c>
      <c r="BD29" s="3" t="str">
        <f t="shared" si="12"/>
        <v/>
      </c>
      <c r="BE29" s="3" t="str">
        <f t="shared" si="12"/>
        <v/>
      </c>
    </row>
    <row r="30" spans="1:57" ht="20.100000000000001" customHeight="1">
      <c r="A30" t="s">
        <v>32</v>
      </c>
      <c r="B30" t="s">
        <v>33</v>
      </c>
      <c r="C30">
        <f>'Gantt actividades'!D6</f>
        <v>9</v>
      </c>
      <c r="D30">
        <f>'Gantt actividades'!E6</f>
        <v>6</v>
      </c>
      <c r="E30">
        <f t="shared" si="7"/>
        <v>15</v>
      </c>
      <c r="G30" s="3" t="str">
        <f t="shared" si="8"/>
        <v/>
      </c>
      <c r="H30" s="3" t="str">
        <f t="shared" si="8"/>
        <v/>
      </c>
      <c r="I30" s="3" t="str">
        <f t="shared" si="8"/>
        <v/>
      </c>
      <c r="J30" s="3" t="str">
        <f t="shared" si="8"/>
        <v/>
      </c>
      <c r="K30" s="3" t="str">
        <f t="shared" si="8"/>
        <v/>
      </c>
      <c r="L30" s="3" t="str">
        <f t="shared" si="8"/>
        <v/>
      </c>
      <c r="M30" s="3" t="str">
        <f t="shared" si="8"/>
        <v/>
      </c>
      <c r="N30" s="3" t="str">
        <f t="shared" si="8"/>
        <v/>
      </c>
      <c r="O30" s="3" t="str">
        <f t="shared" si="8"/>
        <v/>
      </c>
      <c r="P30" s="3">
        <f t="shared" si="8"/>
        <v>1</v>
      </c>
      <c r="Q30" s="3">
        <f t="shared" si="9"/>
        <v>1</v>
      </c>
      <c r="R30" s="3">
        <f t="shared" si="9"/>
        <v>1</v>
      </c>
      <c r="S30" s="3">
        <f t="shared" si="9"/>
        <v>1</v>
      </c>
      <c r="T30" s="3">
        <f t="shared" si="9"/>
        <v>1</v>
      </c>
      <c r="U30" s="3">
        <f t="shared" si="9"/>
        <v>1</v>
      </c>
      <c r="V30" s="3" t="str">
        <f t="shared" si="9"/>
        <v/>
      </c>
      <c r="W30" s="3" t="str">
        <f t="shared" si="9"/>
        <v/>
      </c>
      <c r="X30" s="3" t="str">
        <f t="shared" si="9"/>
        <v/>
      </c>
      <c r="Y30" s="3" t="str">
        <f t="shared" si="9"/>
        <v/>
      </c>
      <c r="Z30" s="3" t="str">
        <f t="shared" si="9"/>
        <v/>
      </c>
      <c r="AA30" s="3" t="str">
        <f t="shared" si="10"/>
        <v/>
      </c>
      <c r="AB30" s="3" t="str">
        <f t="shared" si="10"/>
        <v/>
      </c>
      <c r="AC30" s="3" t="str">
        <f t="shared" si="10"/>
        <v/>
      </c>
      <c r="AD30" s="3" t="str">
        <f t="shared" si="10"/>
        <v/>
      </c>
      <c r="AE30" s="3" t="str">
        <f t="shared" si="10"/>
        <v/>
      </c>
      <c r="AF30" s="3" t="str">
        <f t="shared" si="10"/>
        <v/>
      </c>
      <c r="AG30" s="3" t="str">
        <f t="shared" si="10"/>
        <v/>
      </c>
      <c r="AH30" s="3" t="str">
        <f t="shared" si="10"/>
        <v/>
      </c>
      <c r="AI30" s="3" t="str">
        <f t="shared" si="10"/>
        <v/>
      </c>
      <c r="AJ30" s="3" t="str">
        <f t="shared" si="10"/>
        <v/>
      </c>
      <c r="AK30" s="3" t="str">
        <f t="shared" si="11"/>
        <v/>
      </c>
      <c r="AL30" s="3" t="str">
        <f t="shared" si="11"/>
        <v/>
      </c>
      <c r="AM30" s="3" t="str">
        <f t="shared" si="11"/>
        <v/>
      </c>
      <c r="AN30" s="3" t="str">
        <f t="shared" si="11"/>
        <v/>
      </c>
      <c r="AO30" s="3" t="str">
        <f t="shared" si="11"/>
        <v/>
      </c>
      <c r="AP30" s="3" t="str">
        <f t="shared" si="11"/>
        <v/>
      </c>
      <c r="AQ30" s="3" t="str">
        <f t="shared" si="11"/>
        <v/>
      </c>
      <c r="AR30" s="3" t="str">
        <f t="shared" si="11"/>
        <v/>
      </c>
      <c r="AS30" s="3" t="str">
        <f t="shared" si="11"/>
        <v/>
      </c>
      <c r="AT30" s="3" t="str">
        <f t="shared" si="11"/>
        <v/>
      </c>
      <c r="AU30" s="3" t="str">
        <f t="shared" si="12"/>
        <v/>
      </c>
      <c r="AV30" s="3" t="str">
        <f t="shared" si="12"/>
        <v/>
      </c>
      <c r="AW30" s="3" t="str">
        <f t="shared" si="12"/>
        <v/>
      </c>
      <c r="AX30" s="3" t="str">
        <f t="shared" si="12"/>
        <v/>
      </c>
      <c r="AY30" s="3" t="str">
        <f t="shared" si="12"/>
        <v/>
      </c>
      <c r="AZ30" s="3" t="str">
        <f t="shared" si="12"/>
        <v/>
      </c>
      <c r="BA30" s="3" t="str">
        <f t="shared" si="12"/>
        <v/>
      </c>
      <c r="BB30" s="3" t="str">
        <f t="shared" si="12"/>
        <v/>
      </c>
      <c r="BC30" s="3" t="str">
        <f t="shared" si="12"/>
        <v/>
      </c>
      <c r="BD30" s="3" t="str">
        <f t="shared" si="12"/>
        <v/>
      </c>
      <c r="BE30" s="3" t="str">
        <f t="shared" si="12"/>
        <v/>
      </c>
    </row>
    <row r="31" spans="1:57" ht="20.100000000000001" customHeight="1">
      <c r="A31" t="s">
        <v>34</v>
      </c>
      <c r="B31" t="s">
        <v>35</v>
      </c>
      <c r="C31">
        <f>'Gantt actividades'!D7</f>
        <v>15</v>
      </c>
      <c r="D31">
        <f>'Gantt actividades'!E7</f>
        <v>3</v>
      </c>
      <c r="E31">
        <f t="shared" si="7"/>
        <v>18</v>
      </c>
      <c r="G31" s="3" t="str">
        <f t="shared" si="8"/>
        <v/>
      </c>
      <c r="H31" s="3" t="str">
        <f t="shared" si="8"/>
        <v/>
      </c>
      <c r="I31" s="3" t="str">
        <f t="shared" si="8"/>
        <v/>
      </c>
      <c r="J31" s="3" t="str">
        <f t="shared" si="8"/>
        <v/>
      </c>
      <c r="K31" s="3" t="str">
        <f t="shared" si="8"/>
        <v/>
      </c>
      <c r="L31" s="3" t="str">
        <f t="shared" si="8"/>
        <v/>
      </c>
      <c r="M31" s="3" t="str">
        <f t="shared" si="8"/>
        <v/>
      </c>
      <c r="N31" s="3" t="str">
        <f t="shared" si="8"/>
        <v/>
      </c>
      <c r="O31" s="3" t="str">
        <f t="shared" si="8"/>
        <v/>
      </c>
      <c r="P31" s="3" t="str">
        <f t="shared" si="8"/>
        <v/>
      </c>
      <c r="Q31" s="3" t="str">
        <f t="shared" si="9"/>
        <v/>
      </c>
      <c r="R31" s="3" t="str">
        <f t="shared" si="9"/>
        <v/>
      </c>
      <c r="S31" s="3" t="str">
        <f t="shared" si="9"/>
        <v/>
      </c>
      <c r="T31" s="3" t="str">
        <f t="shared" si="9"/>
        <v/>
      </c>
      <c r="U31" s="3" t="str">
        <f t="shared" si="9"/>
        <v/>
      </c>
      <c r="V31" s="3">
        <f t="shared" si="9"/>
        <v>1</v>
      </c>
      <c r="W31" s="3">
        <f t="shared" si="9"/>
        <v>1</v>
      </c>
      <c r="X31" s="3">
        <f t="shared" si="9"/>
        <v>1</v>
      </c>
      <c r="Y31" s="3" t="str">
        <f t="shared" si="9"/>
        <v/>
      </c>
      <c r="Z31" s="3" t="str">
        <f t="shared" si="9"/>
        <v/>
      </c>
      <c r="AA31" s="3" t="str">
        <f t="shared" si="10"/>
        <v/>
      </c>
      <c r="AB31" s="3" t="str">
        <f t="shared" si="10"/>
        <v/>
      </c>
      <c r="AC31" s="3" t="str">
        <f t="shared" si="10"/>
        <v/>
      </c>
      <c r="AD31" s="3" t="str">
        <f t="shared" si="10"/>
        <v/>
      </c>
      <c r="AE31" s="3" t="str">
        <f t="shared" si="10"/>
        <v/>
      </c>
      <c r="AF31" s="3" t="str">
        <f t="shared" si="10"/>
        <v/>
      </c>
      <c r="AG31" s="3" t="str">
        <f t="shared" si="10"/>
        <v/>
      </c>
      <c r="AH31" s="3" t="str">
        <f t="shared" si="10"/>
        <v/>
      </c>
      <c r="AI31" s="3" t="str">
        <f t="shared" si="10"/>
        <v/>
      </c>
      <c r="AJ31" s="3" t="str">
        <f t="shared" si="10"/>
        <v/>
      </c>
      <c r="AK31" s="3" t="str">
        <f t="shared" si="11"/>
        <v/>
      </c>
      <c r="AL31" s="3" t="str">
        <f t="shared" si="11"/>
        <v/>
      </c>
      <c r="AM31" s="3" t="str">
        <f t="shared" si="11"/>
        <v/>
      </c>
      <c r="AN31" s="3" t="str">
        <f t="shared" si="11"/>
        <v/>
      </c>
      <c r="AO31" s="3" t="str">
        <f t="shared" si="11"/>
        <v/>
      </c>
      <c r="AP31" s="3" t="str">
        <f t="shared" si="11"/>
        <v/>
      </c>
      <c r="AQ31" s="3" t="str">
        <f t="shared" si="11"/>
        <v/>
      </c>
      <c r="AR31" s="3" t="str">
        <f t="shared" si="11"/>
        <v/>
      </c>
      <c r="AS31" s="3" t="str">
        <f t="shared" si="11"/>
        <v/>
      </c>
      <c r="AT31" s="3" t="str">
        <f t="shared" si="11"/>
        <v/>
      </c>
      <c r="AU31" s="3" t="str">
        <f t="shared" si="12"/>
        <v/>
      </c>
      <c r="AV31" s="3" t="str">
        <f t="shared" si="12"/>
        <v/>
      </c>
      <c r="AW31" s="3" t="str">
        <f t="shared" si="12"/>
        <v/>
      </c>
      <c r="AX31" s="3" t="str">
        <f t="shared" si="12"/>
        <v/>
      </c>
      <c r="AY31" s="3" t="str">
        <f t="shared" si="12"/>
        <v/>
      </c>
      <c r="AZ31" s="3" t="str">
        <f t="shared" si="12"/>
        <v/>
      </c>
      <c r="BA31" s="3" t="str">
        <f t="shared" si="12"/>
        <v/>
      </c>
      <c r="BB31" s="3" t="str">
        <f t="shared" si="12"/>
        <v/>
      </c>
      <c r="BC31" s="3" t="str">
        <f t="shared" si="12"/>
        <v/>
      </c>
      <c r="BD31" s="3" t="str">
        <f t="shared" si="12"/>
        <v/>
      </c>
      <c r="BE31" s="3" t="str">
        <f t="shared" si="12"/>
        <v/>
      </c>
    </row>
    <row r="32" spans="1:57" ht="20.100000000000001" customHeight="1">
      <c r="A32" t="s">
        <v>36</v>
      </c>
      <c r="B32" t="s">
        <v>37</v>
      </c>
      <c r="C32">
        <f>'Gantt actividades'!D10</f>
        <v>36</v>
      </c>
      <c r="D32">
        <f>'Gantt actividades'!E10</f>
        <v>5</v>
      </c>
      <c r="E32">
        <f t="shared" si="7"/>
        <v>41</v>
      </c>
      <c r="G32" s="3" t="str">
        <f t="shared" si="8"/>
        <v/>
      </c>
      <c r="H32" s="3" t="str">
        <f t="shared" si="8"/>
        <v/>
      </c>
      <c r="I32" s="3" t="str">
        <f t="shared" si="8"/>
        <v/>
      </c>
      <c r="J32" s="3" t="str">
        <f t="shared" si="8"/>
        <v/>
      </c>
      <c r="K32" s="3" t="str">
        <f t="shared" si="8"/>
        <v/>
      </c>
      <c r="L32" s="3" t="str">
        <f t="shared" si="8"/>
        <v/>
      </c>
      <c r="M32" s="3" t="str">
        <f t="shared" si="8"/>
        <v/>
      </c>
      <c r="N32" s="3" t="str">
        <f t="shared" si="8"/>
        <v/>
      </c>
      <c r="O32" s="3" t="str">
        <f t="shared" si="8"/>
        <v/>
      </c>
      <c r="P32" s="3" t="str">
        <f t="shared" si="8"/>
        <v/>
      </c>
      <c r="Q32" s="3" t="str">
        <f t="shared" si="9"/>
        <v/>
      </c>
      <c r="R32" s="3" t="str">
        <f t="shared" si="9"/>
        <v/>
      </c>
      <c r="S32" s="3" t="str">
        <f t="shared" si="9"/>
        <v/>
      </c>
      <c r="T32" s="3" t="str">
        <f t="shared" si="9"/>
        <v/>
      </c>
      <c r="U32" s="3" t="str">
        <f t="shared" si="9"/>
        <v/>
      </c>
      <c r="V32" s="3" t="str">
        <f t="shared" si="9"/>
        <v/>
      </c>
      <c r="W32" s="3" t="str">
        <f t="shared" si="9"/>
        <v/>
      </c>
      <c r="X32" s="3" t="str">
        <f t="shared" si="9"/>
        <v/>
      </c>
      <c r="Y32" s="3" t="str">
        <f t="shared" si="9"/>
        <v/>
      </c>
      <c r="Z32" s="3" t="str">
        <f t="shared" si="9"/>
        <v/>
      </c>
      <c r="AA32" s="3" t="str">
        <f t="shared" si="10"/>
        <v/>
      </c>
      <c r="AB32" s="3" t="str">
        <f t="shared" si="10"/>
        <v/>
      </c>
      <c r="AC32" s="3" t="str">
        <f t="shared" si="10"/>
        <v/>
      </c>
      <c r="AD32" s="3" t="str">
        <f t="shared" si="10"/>
        <v/>
      </c>
      <c r="AE32" s="3" t="str">
        <f t="shared" si="10"/>
        <v/>
      </c>
      <c r="AF32" s="3" t="str">
        <f t="shared" si="10"/>
        <v/>
      </c>
      <c r="AG32" s="3" t="str">
        <f t="shared" si="10"/>
        <v/>
      </c>
      <c r="AH32" s="3" t="str">
        <f t="shared" si="10"/>
        <v/>
      </c>
      <c r="AI32" s="3" t="str">
        <f t="shared" si="10"/>
        <v/>
      </c>
      <c r="AJ32" s="3" t="str">
        <f t="shared" si="10"/>
        <v/>
      </c>
      <c r="AK32" s="3" t="str">
        <f t="shared" si="11"/>
        <v/>
      </c>
      <c r="AL32" s="3" t="str">
        <f t="shared" si="11"/>
        <v/>
      </c>
      <c r="AM32" s="3" t="str">
        <f t="shared" si="11"/>
        <v/>
      </c>
      <c r="AN32" s="3" t="str">
        <f t="shared" si="11"/>
        <v/>
      </c>
      <c r="AO32" s="3" t="str">
        <f t="shared" si="11"/>
        <v/>
      </c>
      <c r="AP32" s="3" t="str">
        <f t="shared" si="11"/>
        <v/>
      </c>
      <c r="AQ32" s="3">
        <f t="shared" si="11"/>
        <v>1</v>
      </c>
      <c r="AR32" s="3">
        <f t="shared" si="11"/>
        <v>1</v>
      </c>
      <c r="AS32" s="3">
        <f t="shared" si="11"/>
        <v>1</v>
      </c>
      <c r="AT32" s="3">
        <f t="shared" si="11"/>
        <v>1</v>
      </c>
      <c r="AU32" s="3">
        <f t="shared" si="12"/>
        <v>1</v>
      </c>
      <c r="AV32" s="3" t="str">
        <f t="shared" si="12"/>
        <v/>
      </c>
      <c r="AW32" s="3" t="str">
        <f t="shared" si="12"/>
        <v/>
      </c>
      <c r="AX32" s="3" t="str">
        <f t="shared" si="12"/>
        <v/>
      </c>
      <c r="AY32" s="3" t="str">
        <f t="shared" si="12"/>
        <v/>
      </c>
      <c r="AZ32" s="3" t="str">
        <f t="shared" si="12"/>
        <v/>
      </c>
      <c r="BA32" s="3" t="str">
        <f t="shared" si="12"/>
        <v/>
      </c>
      <c r="BB32" s="3" t="str">
        <f t="shared" si="12"/>
        <v/>
      </c>
      <c r="BC32" s="3" t="str">
        <f t="shared" si="12"/>
        <v/>
      </c>
      <c r="BD32" s="3" t="str">
        <f t="shared" si="12"/>
        <v/>
      </c>
      <c r="BE32" s="3" t="str">
        <f t="shared" si="12"/>
        <v/>
      </c>
    </row>
    <row r="33" spans="1:57" ht="20.100000000000001" customHeight="1">
      <c r="A33" t="s">
        <v>38</v>
      </c>
      <c r="B33" t="s">
        <v>39</v>
      </c>
      <c r="C33">
        <f>'Gantt actividades'!D5</f>
        <v>4</v>
      </c>
      <c r="D33">
        <f>'Gantt actividades'!E5</f>
        <v>5</v>
      </c>
      <c r="E33">
        <f t="shared" si="7"/>
        <v>9</v>
      </c>
      <c r="G33" s="3" t="str">
        <f t="shared" si="8"/>
        <v/>
      </c>
      <c r="H33" s="3" t="str">
        <f t="shared" si="8"/>
        <v/>
      </c>
      <c r="I33" s="3" t="str">
        <f t="shared" si="8"/>
        <v/>
      </c>
      <c r="J33" s="3" t="str">
        <f t="shared" si="8"/>
        <v/>
      </c>
      <c r="K33" s="3">
        <f t="shared" si="8"/>
        <v>1</v>
      </c>
      <c r="L33" s="3">
        <f t="shared" si="8"/>
        <v>1</v>
      </c>
      <c r="M33" s="3">
        <f t="shared" si="8"/>
        <v>1</v>
      </c>
      <c r="N33" s="3">
        <f t="shared" si="8"/>
        <v>1</v>
      </c>
      <c r="O33" s="3">
        <f t="shared" si="8"/>
        <v>1</v>
      </c>
      <c r="P33" s="3" t="str">
        <f t="shared" si="8"/>
        <v/>
      </c>
      <c r="Q33" s="3" t="str">
        <f t="shared" si="9"/>
        <v/>
      </c>
      <c r="R33" s="3" t="str">
        <f t="shared" si="9"/>
        <v/>
      </c>
      <c r="S33" s="3" t="str">
        <f t="shared" si="9"/>
        <v/>
      </c>
      <c r="T33" s="3" t="str">
        <f t="shared" si="9"/>
        <v/>
      </c>
      <c r="U33" s="3" t="str">
        <f t="shared" si="9"/>
        <v/>
      </c>
      <c r="V33" s="3" t="str">
        <f t="shared" si="9"/>
        <v/>
      </c>
      <c r="W33" s="3" t="str">
        <f t="shared" si="9"/>
        <v/>
      </c>
      <c r="X33" s="3" t="str">
        <f t="shared" si="9"/>
        <v/>
      </c>
      <c r="Y33" s="3" t="str">
        <f t="shared" si="9"/>
        <v/>
      </c>
      <c r="Z33" s="3" t="str">
        <f t="shared" si="9"/>
        <v/>
      </c>
      <c r="AA33" s="3" t="str">
        <f t="shared" si="10"/>
        <v/>
      </c>
      <c r="AB33" s="3" t="str">
        <f t="shared" si="10"/>
        <v/>
      </c>
      <c r="AC33" s="3" t="str">
        <f t="shared" si="10"/>
        <v/>
      </c>
      <c r="AD33" s="3" t="str">
        <f t="shared" si="10"/>
        <v/>
      </c>
      <c r="AE33" s="3" t="str">
        <f t="shared" si="10"/>
        <v/>
      </c>
      <c r="AF33" s="3" t="str">
        <f t="shared" si="10"/>
        <v/>
      </c>
      <c r="AG33" s="3" t="str">
        <f t="shared" si="10"/>
        <v/>
      </c>
      <c r="AH33" s="3" t="str">
        <f t="shared" si="10"/>
        <v/>
      </c>
      <c r="AI33" s="3" t="str">
        <f t="shared" si="10"/>
        <v/>
      </c>
      <c r="AJ33" s="3" t="str">
        <f t="shared" si="10"/>
        <v/>
      </c>
      <c r="AK33" s="3" t="str">
        <f t="shared" si="11"/>
        <v/>
      </c>
      <c r="AL33" s="3" t="str">
        <f t="shared" si="11"/>
        <v/>
      </c>
      <c r="AM33" s="3" t="str">
        <f t="shared" si="11"/>
        <v/>
      </c>
      <c r="AN33" s="3" t="str">
        <f t="shared" si="11"/>
        <v/>
      </c>
      <c r="AO33" s="3" t="str">
        <f t="shared" si="11"/>
        <v/>
      </c>
      <c r="AP33" s="3" t="str">
        <f t="shared" si="11"/>
        <v/>
      </c>
      <c r="AQ33" s="3" t="str">
        <f t="shared" si="11"/>
        <v/>
      </c>
      <c r="AR33" s="3" t="str">
        <f t="shared" si="11"/>
        <v/>
      </c>
      <c r="AS33" s="3" t="str">
        <f t="shared" si="11"/>
        <v/>
      </c>
      <c r="AT33" s="3" t="str">
        <f t="shared" si="11"/>
        <v/>
      </c>
      <c r="AU33" s="3" t="str">
        <f t="shared" si="12"/>
        <v/>
      </c>
      <c r="AV33" s="3" t="str">
        <f t="shared" si="12"/>
        <v/>
      </c>
      <c r="AW33" s="3" t="str">
        <f t="shared" si="12"/>
        <v/>
      </c>
      <c r="AX33" s="3" t="str">
        <f t="shared" si="12"/>
        <v/>
      </c>
      <c r="AY33" s="3" t="str">
        <f t="shared" si="12"/>
        <v/>
      </c>
      <c r="AZ33" s="3" t="str">
        <f t="shared" si="12"/>
        <v/>
      </c>
      <c r="BA33" s="3" t="str">
        <f t="shared" si="12"/>
        <v/>
      </c>
      <c r="BB33" s="3" t="str">
        <f t="shared" si="12"/>
        <v/>
      </c>
      <c r="BC33" s="3" t="str">
        <f t="shared" si="12"/>
        <v/>
      </c>
      <c r="BD33" s="3" t="str">
        <f t="shared" si="12"/>
        <v/>
      </c>
      <c r="BE33" s="3" t="str">
        <f t="shared" si="12"/>
        <v/>
      </c>
    </row>
    <row r="34" spans="1:57" ht="20.100000000000001" customHeight="1"/>
    <row r="35" spans="1:57" ht="20.100000000000001" customHeight="1">
      <c r="A35" s="56" t="s">
        <v>40</v>
      </c>
      <c r="B35" s="55"/>
      <c r="C35" s="55"/>
      <c r="D35" s="55"/>
      <c r="E35" s="55"/>
    </row>
  </sheetData>
  <mergeCells count="5">
    <mergeCell ref="A21:E21"/>
    <mergeCell ref="A35:E35"/>
    <mergeCell ref="A14:C14"/>
    <mergeCell ref="A1:F1"/>
    <mergeCell ref="A16:F18"/>
  </mergeCells>
  <conditionalFormatting sqref="G4:BE4">
    <cfRule type="expression" dxfId="37" priority="1">
      <formula>G4=1</formula>
    </cfRule>
  </conditionalFormatting>
  <conditionalFormatting sqref="G5:BE5">
    <cfRule type="expression" dxfId="36" priority="2">
      <formula>G5=1</formula>
    </cfRule>
  </conditionalFormatting>
  <conditionalFormatting sqref="G6:BE6">
    <cfRule type="expression" dxfId="35" priority="3">
      <formula>G6=1</formula>
    </cfRule>
  </conditionalFormatting>
  <conditionalFormatting sqref="G7:BE7">
    <cfRule type="expression" dxfId="34" priority="4">
      <formula>G7=1</formula>
    </cfRule>
  </conditionalFormatting>
  <conditionalFormatting sqref="G8:BE8">
    <cfRule type="expression" dxfId="33" priority="5">
      <formula>G8=1</formula>
    </cfRule>
  </conditionalFormatting>
  <conditionalFormatting sqref="G9:BE9">
    <cfRule type="expression" dxfId="32" priority="6">
      <formula>G9=1</formula>
    </cfRule>
  </conditionalFormatting>
  <conditionalFormatting sqref="G10:BE10">
    <cfRule type="expression" dxfId="31" priority="7">
      <formula>G10=1</formula>
    </cfRule>
  </conditionalFormatting>
  <conditionalFormatting sqref="G11:BE11">
    <cfRule type="expression" dxfId="30" priority="8">
      <formula>G11=1</formula>
    </cfRule>
  </conditionalFormatting>
  <conditionalFormatting sqref="G12:BE12">
    <cfRule type="expression" dxfId="29" priority="9">
      <formula>G12=1</formula>
    </cfRule>
  </conditionalFormatting>
  <conditionalFormatting sqref="G24:BE24">
    <cfRule type="expression" dxfId="28" priority="10">
      <formula>G24=1</formula>
    </cfRule>
  </conditionalFormatting>
  <conditionalFormatting sqref="G25:BE25">
    <cfRule type="expression" dxfId="27" priority="11">
      <formula>G25=1</formula>
    </cfRule>
  </conditionalFormatting>
  <conditionalFormatting sqref="G26:BE26">
    <cfRule type="expression" dxfId="26" priority="12">
      <formula>G26=1</formula>
    </cfRule>
  </conditionalFormatting>
  <conditionalFormatting sqref="G27:BE27">
    <cfRule type="expression" dxfId="25" priority="13">
      <formula>G27=1</formula>
    </cfRule>
  </conditionalFormatting>
  <conditionalFormatting sqref="G28:BE28">
    <cfRule type="expression" dxfId="24" priority="14">
      <formula>G28=1</formula>
    </cfRule>
  </conditionalFormatting>
  <conditionalFormatting sqref="G29:BE29">
    <cfRule type="expression" dxfId="23" priority="15">
      <formula>G29=1</formula>
    </cfRule>
  </conditionalFormatting>
  <conditionalFormatting sqref="G30:BE30">
    <cfRule type="expression" dxfId="22" priority="16">
      <formula>G30=1</formula>
    </cfRule>
  </conditionalFormatting>
  <conditionalFormatting sqref="G31:BE31">
    <cfRule type="expression" dxfId="21" priority="17">
      <formula>G31=1</formula>
    </cfRule>
  </conditionalFormatting>
  <conditionalFormatting sqref="G32:BE32">
    <cfRule type="expression" dxfId="20" priority="18">
      <formula>G32=1</formula>
    </cfRule>
  </conditionalFormatting>
  <conditionalFormatting sqref="G33:BE33">
    <cfRule type="expression" dxfId="19" priority="19">
      <formula>G33=1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18"/>
  <sheetViews>
    <sheetView showGridLines="0" workbookViewId="0">
      <pane xSplit="6" ySplit="3" topLeftCell="G4" activePane="bottomRight" state="frozen"/>
      <selection pane="topRight"/>
      <selection pane="bottomLeft"/>
      <selection pane="bottomRight" sqref="A1:F1"/>
    </sheetView>
  </sheetViews>
  <sheetFormatPr baseColWidth="10" defaultColWidth="9.140625" defaultRowHeight="15"/>
  <cols>
    <col min="1" max="1" width="8" customWidth="1"/>
    <col min="2" max="2" width="34" customWidth="1"/>
    <col min="3" max="3" width="25" customWidth="1"/>
    <col min="4" max="4" width="8" customWidth="1"/>
    <col min="5" max="5" width="9" customWidth="1"/>
    <col min="6" max="6" width="8" customWidth="1"/>
    <col min="7" max="57" width="3" customWidth="1"/>
  </cols>
  <sheetData>
    <row r="1" spans="1:57" ht="24" customHeight="1">
      <c r="A1" s="54" t="s">
        <v>41</v>
      </c>
      <c r="B1" s="55"/>
      <c r="C1" s="55"/>
      <c r="D1" s="55"/>
      <c r="E1" s="55"/>
      <c r="F1" s="55"/>
    </row>
    <row r="2" spans="1:57" ht="20.100000000000001" customHeight="1"/>
    <row r="3" spans="1:57" ht="20.100000000000001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2">
        <v>0</v>
      </c>
      <c r="H3" s="2">
        <v>1</v>
      </c>
      <c r="I3" s="2">
        <v>2</v>
      </c>
      <c r="J3" s="2">
        <v>3</v>
      </c>
      <c r="K3" s="2">
        <v>4</v>
      </c>
      <c r="L3" s="2">
        <v>5</v>
      </c>
      <c r="M3" s="2">
        <v>6</v>
      </c>
      <c r="N3" s="2">
        <v>7</v>
      </c>
      <c r="O3" s="2">
        <v>8</v>
      </c>
      <c r="P3" s="2">
        <v>9</v>
      </c>
      <c r="Q3" s="2">
        <v>10</v>
      </c>
      <c r="R3" s="2">
        <v>11</v>
      </c>
      <c r="S3" s="2">
        <v>12</v>
      </c>
      <c r="T3" s="2">
        <v>13</v>
      </c>
      <c r="U3" s="2">
        <v>14</v>
      </c>
      <c r="V3" s="2">
        <v>15</v>
      </c>
      <c r="W3" s="2">
        <v>16</v>
      </c>
      <c r="X3" s="2">
        <v>17</v>
      </c>
      <c r="Y3" s="2">
        <v>18</v>
      </c>
      <c r="Z3" s="2">
        <v>19</v>
      </c>
      <c r="AA3" s="2">
        <v>20</v>
      </c>
      <c r="AB3" s="2">
        <v>21</v>
      </c>
      <c r="AC3" s="2">
        <v>22</v>
      </c>
      <c r="AD3" s="2">
        <v>23</v>
      </c>
      <c r="AE3" s="2">
        <v>24</v>
      </c>
      <c r="AF3" s="2">
        <v>25</v>
      </c>
      <c r="AG3" s="2">
        <v>26</v>
      </c>
      <c r="AH3" s="2">
        <v>27</v>
      </c>
      <c r="AI3" s="2">
        <v>28</v>
      </c>
      <c r="AJ3" s="2">
        <v>29</v>
      </c>
      <c r="AK3" s="2">
        <v>30</v>
      </c>
      <c r="AL3" s="2">
        <v>31</v>
      </c>
      <c r="AM3" s="2">
        <v>32</v>
      </c>
      <c r="AN3" s="2">
        <v>33</v>
      </c>
      <c r="AO3" s="2">
        <v>34</v>
      </c>
      <c r="AP3" s="2">
        <v>35</v>
      </c>
      <c r="AQ3" s="2">
        <v>36</v>
      </c>
      <c r="AR3" s="2">
        <v>37</v>
      </c>
      <c r="AS3" s="2">
        <v>38</v>
      </c>
      <c r="AT3" s="2">
        <v>39</v>
      </c>
      <c r="AU3" s="2">
        <v>40</v>
      </c>
      <c r="AV3" s="2">
        <v>41</v>
      </c>
      <c r="AW3" s="2">
        <v>42</v>
      </c>
      <c r="AX3" s="2">
        <v>43</v>
      </c>
      <c r="AY3" s="2">
        <v>44</v>
      </c>
      <c r="AZ3" s="2">
        <v>45</v>
      </c>
      <c r="BA3" s="2">
        <v>46</v>
      </c>
      <c r="BB3" s="2">
        <v>47</v>
      </c>
      <c r="BC3" s="2">
        <v>48</v>
      </c>
      <c r="BD3" s="2">
        <v>49</v>
      </c>
      <c r="BE3" s="2">
        <v>50</v>
      </c>
    </row>
    <row r="4" spans="1:57" ht="20.100000000000001" customHeight="1">
      <c r="A4">
        <v>1</v>
      </c>
      <c r="B4" t="s">
        <v>7</v>
      </c>
      <c r="C4" t="s">
        <v>8</v>
      </c>
      <c r="D4">
        <f>0</f>
        <v>0</v>
      </c>
      <c r="E4">
        <v>4</v>
      </c>
      <c r="F4">
        <f t="shared" ref="F4:F12" si="0">D4+E4</f>
        <v>4</v>
      </c>
      <c r="G4" s="3">
        <f t="shared" ref="G4:P12" si="1">IF(AND(G$3&gt;=$D4,G$3&lt;$F4),1,"")</f>
        <v>1</v>
      </c>
      <c r="H4" s="3">
        <f t="shared" si="1"/>
        <v>1</v>
      </c>
      <c r="I4" s="3">
        <f t="shared" si="1"/>
        <v>1</v>
      </c>
      <c r="J4" s="3">
        <f t="shared" si="1"/>
        <v>1</v>
      </c>
      <c r="K4" s="3" t="str">
        <f t="shared" si="1"/>
        <v/>
      </c>
      <c r="L4" s="3" t="str">
        <f t="shared" si="1"/>
        <v/>
      </c>
      <c r="M4" s="3" t="str">
        <f t="shared" si="1"/>
        <v/>
      </c>
      <c r="N4" s="3" t="str">
        <f t="shared" si="1"/>
        <v/>
      </c>
      <c r="O4" s="3" t="str">
        <f t="shared" si="1"/>
        <v/>
      </c>
      <c r="P4" s="3" t="str">
        <f t="shared" si="1"/>
        <v/>
      </c>
      <c r="Q4" s="3" t="str">
        <f t="shared" ref="Q4:Z12" si="2">IF(AND(Q$3&gt;=$D4,Q$3&lt;$F4),1,"")</f>
        <v/>
      </c>
      <c r="R4" s="3" t="str">
        <f t="shared" si="2"/>
        <v/>
      </c>
      <c r="S4" s="3" t="str">
        <f t="shared" si="2"/>
        <v/>
      </c>
      <c r="T4" s="3" t="str">
        <f t="shared" si="2"/>
        <v/>
      </c>
      <c r="U4" s="3" t="str">
        <f t="shared" si="2"/>
        <v/>
      </c>
      <c r="V4" s="3" t="str">
        <f t="shared" si="2"/>
        <v/>
      </c>
      <c r="W4" s="3" t="str">
        <f t="shared" si="2"/>
        <v/>
      </c>
      <c r="X4" s="3" t="str">
        <f t="shared" si="2"/>
        <v/>
      </c>
      <c r="Y4" s="3" t="str">
        <f t="shared" si="2"/>
        <v/>
      </c>
      <c r="Z4" s="3" t="str">
        <f t="shared" si="2"/>
        <v/>
      </c>
      <c r="AA4" s="3" t="str">
        <f t="shared" ref="AA4:AJ12" si="3">IF(AND(AA$3&gt;=$D4,AA$3&lt;$F4),1,"")</f>
        <v/>
      </c>
      <c r="AB4" s="3" t="str">
        <f t="shared" si="3"/>
        <v/>
      </c>
      <c r="AC4" s="3" t="str">
        <f t="shared" si="3"/>
        <v/>
      </c>
      <c r="AD4" s="3" t="str">
        <f t="shared" si="3"/>
        <v/>
      </c>
      <c r="AE4" s="3" t="str">
        <f t="shared" si="3"/>
        <v/>
      </c>
      <c r="AF4" s="3" t="str">
        <f t="shared" si="3"/>
        <v/>
      </c>
      <c r="AG4" s="3" t="str">
        <f t="shared" si="3"/>
        <v/>
      </c>
      <c r="AH4" s="3" t="str">
        <f t="shared" si="3"/>
        <v/>
      </c>
      <c r="AI4" s="3" t="str">
        <f t="shared" si="3"/>
        <v/>
      </c>
      <c r="AJ4" s="3" t="str">
        <f t="shared" si="3"/>
        <v/>
      </c>
      <c r="AK4" s="3" t="str">
        <f t="shared" ref="AK4:AT12" si="4">IF(AND(AK$3&gt;=$D4,AK$3&lt;$F4),1,"")</f>
        <v/>
      </c>
      <c r="AL4" s="3" t="str">
        <f t="shared" si="4"/>
        <v/>
      </c>
      <c r="AM4" s="3" t="str">
        <f t="shared" si="4"/>
        <v/>
      </c>
      <c r="AN4" s="3" t="str">
        <f t="shared" si="4"/>
        <v/>
      </c>
      <c r="AO4" s="3" t="str">
        <f t="shared" si="4"/>
        <v/>
      </c>
      <c r="AP4" s="3" t="str">
        <f t="shared" si="4"/>
        <v/>
      </c>
      <c r="AQ4" s="3" t="str">
        <f t="shared" si="4"/>
        <v/>
      </c>
      <c r="AR4" s="3" t="str">
        <f t="shared" si="4"/>
        <v/>
      </c>
      <c r="AS4" s="3" t="str">
        <f t="shared" si="4"/>
        <v/>
      </c>
      <c r="AT4" s="3" t="str">
        <f t="shared" si="4"/>
        <v/>
      </c>
      <c r="AU4" s="3" t="str">
        <f t="shared" ref="AU4:BE12" si="5">IF(AND(AU$3&gt;=$D4,AU$3&lt;$F4),1,"")</f>
        <v/>
      </c>
      <c r="AV4" s="3" t="str">
        <f t="shared" si="5"/>
        <v/>
      </c>
      <c r="AW4" s="3" t="str">
        <f t="shared" si="5"/>
        <v/>
      </c>
      <c r="AX4" s="3" t="str">
        <f t="shared" si="5"/>
        <v/>
      </c>
      <c r="AY4" s="3" t="str">
        <f t="shared" si="5"/>
        <v/>
      </c>
      <c r="AZ4" s="3" t="str">
        <f t="shared" si="5"/>
        <v/>
      </c>
      <c r="BA4" s="3" t="str">
        <f t="shared" si="5"/>
        <v/>
      </c>
      <c r="BB4" s="3" t="str">
        <f t="shared" si="5"/>
        <v/>
      </c>
      <c r="BC4" s="3" t="str">
        <f t="shared" si="5"/>
        <v/>
      </c>
      <c r="BD4" s="3" t="str">
        <f t="shared" si="5"/>
        <v/>
      </c>
      <c r="BE4" s="3" t="str">
        <f t="shared" si="5"/>
        <v/>
      </c>
    </row>
    <row r="5" spans="1:57" ht="20.100000000000001" customHeight="1">
      <c r="A5">
        <v>2</v>
      </c>
      <c r="B5" t="s">
        <v>9</v>
      </c>
      <c r="C5" t="s">
        <v>8</v>
      </c>
      <c r="D5">
        <f t="shared" ref="D5:D12" si="6">F4</f>
        <v>4</v>
      </c>
      <c r="E5">
        <v>5</v>
      </c>
      <c r="F5">
        <f t="shared" si="0"/>
        <v>9</v>
      </c>
      <c r="G5" s="3" t="str">
        <f t="shared" si="1"/>
        <v/>
      </c>
      <c r="H5" s="3" t="str">
        <f t="shared" si="1"/>
        <v/>
      </c>
      <c r="I5" s="3" t="str">
        <f t="shared" si="1"/>
        <v/>
      </c>
      <c r="J5" s="3" t="str">
        <f t="shared" si="1"/>
        <v/>
      </c>
      <c r="K5" s="3">
        <f t="shared" si="1"/>
        <v>1</v>
      </c>
      <c r="L5" s="3">
        <f t="shared" si="1"/>
        <v>1</v>
      </c>
      <c r="M5" s="3">
        <f t="shared" si="1"/>
        <v>1</v>
      </c>
      <c r="N5" s="3">
        <f t="shared" si="1"/>
        <v>1</v>
      </c>
      <c r="O5" s="3">
        <f t="shared" si="1"/>
        <v>1</v>
      </c>
      <c r="P5" s="3" t="str">
        <f t="shared" si="1"/>
        <v/>
      </c>
      <c r="Q5" s="3" t="str">
        <f t="shared" si="2"/>
        <v/>
      </c>
      <c r="R5" s="3" t="str">
        <f t="shared" si="2"/>
        <v/>
      </c>
      <c r="S5" s="3" t="str">
        <f t="shared" si="2"/>
        <v/>
      </c>
      <c r="T5" s="3" t="str">
        <f t="shared" si="2"/>
        <v/>
      </c>
      <c r="U5" s="3" t="str">
        <f t="shared" si="2"/>
        <v/>
      </c>
      <c r="V5" s="3" t="str">
        <f t="shared" si="2"/>
        <v/>
      </c>
      <c r="W5" s="3" t="str">
        <f t="shared" si="2"/>
        <v/>
      </c>
      <c r="X5" s="3" t="str">
        <f t="shared" si="2"/>
        <v/>
      </c>
      <c r="Y5" s="3" t="str">
        <f t="shared" si="2"/>
        <v/>
      </c>
      <c r="Z5" s="3" t="str">
        <f t="shared" si="2"/>
        <v/>
      </c>
      <c r="AA5" s="3" t="str">
        <f t="shared" si="3"/>
        <v/>
      </c>
      <c r="AB5" s="3" t="str">
        <f t="shared" si="3"/>
        <v/>
      </c>
      <c r="AC5" s="3" t="str">
        <f t="shared" si="3"/>
        <v/>
      </c>
      <c r="AD5" s="3" t="str">
        <f t="shared" si="3"/>
        <v/>
      </c>
      <c r="AE5" s="3" t="str">
        <f t="shared" si="3"/>
        <v/>
      </c>
      <c r="AF5" s="3" t="str">
        <f t="shared" si="3"/>
        <v/>
      </c>
      <c r="AG5" s="3" t="str">
        <f t="shared" si="3"/>
        <v/>
      </c>
      <c r="AH5" s="3" t="str">
        <f t="shared" si="3"/>
        <v/>
      </c>
      <c r="AI5" s="3" t="str">
        <f t="shared" si="3"/>
        <v/>
      </c>
      <c r="AJ5" s="3" t="str">
        <f t="shared" si="3"/>
        <v/>
      </c>
      <c r="AK5" s="3" t="str">
        <f t="shared" si="4"/>
        <v/>
      </c>
      <c r="AL5" s="3" t="str">
        <f t="shared" si="4"/>
        <v/>
      </c>
      <c r="AM5" s="3" t="str">
        <f t="shared" si="4"/>
        <v/>
      </c>
      <c r="AN5" s="3" t="str">
        <f t="shared" si="4"/>
        <v/>
      </c>
      <c r="AO5" s="3" t="str">
        <f t="shared" si="4"/>
        <v/>
      </c>
      <c r="AP5" s="3" t="str">
        <f t="shared" si="4"/>
        <v/>
      </c>
      <c r="AQ5" s="3" t="str">
        <f t="shared" si="4"/>
        <v/>
      </c>
      <c r="AR5" s="3" t="str">
        <f t="shared" si="4"/>
        <v/>
      </c>
      <c r="AS5" s="3" t="str">
        <f t="shared" si="4"/>
        <v/>
      </c>
      <c r="AT5" s="3" t="str">
        <f t="shared" si="4"/>
        <v/>
      </c>
      <c r="AU5" s="3" t="str">
        <f t="shared" si="5"/>
        <v/>
      </c>
      <c r="AV5" s="3" t="str">
        <f t="shared" si="5"/>
        <v/>
      </c>
      <c r="AW5" s="3" t="str">
        <f t="shared" si="5"/>
        <v/>
      </c>
      <c r="AX5" s="3" t="str">
        <f t="shared" si="5"/>
        <v/>
      </c>
      <c r="AY5" s="3" t="str">
        <f t="shared" si="5"/>
        <v/>
      </c>
      <c r="AZ5" s="3" t="str">
        <f t="shared" si="5"/>
        <v/>
      </c>
      <c r="BA5" s="3" t="str">
        <f t="shared" si="5"/>
        <v/>
      </c>
      <c r="BB5" s="3" t="str">
        <f t="shared" si="5"/>
        <v/>
      </c>
      <c r="BC5" s="3" t="str">
        <f t="shared" si="5"/>
        <v/>
      </c>
      <c r="BD5" s="3" t="str">
        <f t="shared" si="5"/>
        <v/>
      </c>
      <c r="BE5" s="3" t="str">
        <f t="shared" si="5"/>
        <v/>
      </c>
    </row>
    <row r="6" spans="1:57" ht="20.100000000000001" customHeight="1">
      <c r="A6">
        <v>3</v>
      </c>
      <c r="B6" t="s">
        <v>10</v>
      </c>
      <c r="C6" t="s">
        <v>8</v>
      </c>
      <c r="D6">
        <f t="shared" si="6"/>
        <v>9</v>
      </c>
      <c r="E6">
        <v>6</v>
      </c>
      <c r="F6">
        <f t="shared" si="0"/>
        <v>15</v>
      </c>
      <c r="G6" s="3" t="str">
        <f t="shared" si="1"/>
        <v/>
      </c>
      <c r="H6" s="3" t="str">
        <f t="shared" si="1"/>
        <v/>
      </c>
      <c r="I6" s="3" t="str">
        <f t="shared" si="1"/>
        <v/>
      </c>
      <c r="J6" s="3" t="str">
        <f t="shared" si="1"/>
        <v/>
      </c>
      <c r="K6" s="3" t="str">
        <f t="shared" si="1"/>
        <v/>
      </c>
      <c r="L6" s="3" t="str">
        <f t="shared" si="1"/>
        <v/>
      </c>
      <c r="M6" s="3" t="str">
        <f t="shared" si="1"/>
        <v/>
      </c>
      <c r="N6" s="3" t="str">
        <f t="shared" si="1"/>
        <v/>
      </c>
      <c r="O6" s="3" t="str">
        <f t="shared" si="1"/>
        <v/>
      </c>
      <c r="P6" s="3">
        <f t="shared" si="1"/>
        <v>1</v>
      </c>
      <c r="Q6" s="3">
        <f t="shared" si="2"/>
        <v>1</v>
      </c>
      <c r="R6" s="3">
        <f t="shared" si="2"/>
        <v>1</v>
      </c>
      <c r="S6" s="3">
        <f t="shared" si="2"/>
        <v>1</v>
      </c>
      <c r="T6" s="3">
        <f t="shared" si="2"/>
        <v>1</v>
      </c>
      <c r="U6" s="3">
        <f t="shared" si="2"/>
        <v>1</v>
      </c>
      <c r="V6" s="3" t="str">
        <f t="shared" si="2"/>
        <v/>
      </c>
      <c r="W6" s="3" t="str">
        <f t="shared" si="2"/>
        <v/>
      </c>
      <c r="X6" s="3" t="str">
        <f t="shared" si="2"/>
        <v/>
      </c>
      <c r="Y6" s="3" t="str">
        <f t="shared" si="2"/>
        <v/>
      </c>
      <c r="Z6" s="3" t="str">
        <f t="shared" si="2"/>
        <v/>
      </c>
      <c r="AA6" s="3" t="str">
        <f t="shared" si="3"/>
        <v/>
      </c>
      <c r="AB6" s="3" t="str">
        <f t="shared" si="3"/>
        <v/>
      </c>
      <c r="AC6" s="3" t="str">
        <f t="shared" si="3"/>
        <v/>
      </c>
      <c r="AD6" s="3" t="str">
        <f t="shared" si="3"/>
        <v/>
      </c>
      <c r="AE6" s="3" t="str">
        <f t="shared" si="3"/>
        <v/>
      </c>
      <c r="AF6" s="3" t="str">
        <f t="shared" si="3"/>
        <v/>
      </c>
      <c r="AG6" s="3" t="str">
        <f t="shared" si="3"/>
        <v/>
      </c>
      <c r="AH6" s="3" t="str">
        <f t="shared" si="3"/>
        <v/>
      </c>
      <c r="AI6" s="3" t="str">
        <f t="shared" si="3"/>
        <v/>
      </c>
      <c r="AJ6" s="3" t="str">
        <f t="shared" si="3"/>
        <v/>
      </c>
      <c r="AK6" s="3" t="str">
        <f t="shared" si="4"/>
        <v/>
      </c>
      <c r="AL6" s="3" t="str">
        <f t="shared" si="4"/>
        <v/>
      </c>
      <c r="AM6" s="3" t="str">
        <f t="shared" si="4"/>
        <v/>
      </c>
      <c r="AN6" s="3" t="str">
        <f t="shared" si="4"/>
        <v/>
      </c>
      <c r="AO6" s="3" t="str">
        <f t="shared" si="4"/>
        <v/>
      </c>
      <c r="AP6" s="3" t="str">
        <f t="shared" si="4"/>
        <v/>
      </c>
      <c r="AQ6" s="3" t="str">
        <f t="shared" si="4"/>
        <v/>
      </c>
      <c r="AR6" s="3" t="str">
        <f t="shared" si="4"/>
        <v/>
      </c>
      <c r="AS6" s="3" t="str">
        <f t="shared" si="4"/>
        <v/>
      </c>
      <c r="AT6" s="3" t="str">
        <f t="shared" si="4"/>
        <v/>
      </c>
      <c r="AU6" s="3" t="str">
        <f t="shared" si="5"/>
        <v/>
      </c>
      <c r="AV6" s="3" t="str">
        <f t="shared" si="5"/>
        <v/>
      </c>
      <c r="AW6" s="3" t="str">
        <f t="shared" si="5"/>
        <v/>
      </c>
      <c r="AX6" s="3" t="str">
        <f t="shared" si="5"/>
        <v/>
      </c>
      <c r="AY6" s="3" t="str">
        <f t="shared" si="5"/>
        <v/>
      </c>
      <c r="AZ6" s="3" t="str">
        <f t="shared" si="5"/>
        <v/>
      </c>
      <c r="BA6" s="3" t="str">
        <f t="shared" si="5"/>
        <v/>
      </c>
      <c r="BB6" s="3" t="str">
        <f t="shared" si="5"/>
        <v/>
      </c>
      <c r="BC6" s="3" t="str">
        <f t="shared" si="5"/>
        <v/>
      </c>
      <c r="BD6" s="3" t="str">
        <f t="shared" si="5"/>
        <v/>
      </c>
      <c r="BE6" s="3" t="str">
        <f t="shared" si="5"/>
        <v/>
      </c>
    </row>
    <row r="7" spans="1:57" ht="20.100000000000001" customHeight="1">
      <c r="A7">
        <v>4</v>
      </c>
      <c r="B7" t="s">
        <v>11</v>
      </c>
      <c r="C7" t="s">
        <v>8</v>
      </c>
      <c r="D7">
        <f t="shared" si="6"/>
        <v>15</v>
      </c>
      <c r="E7">
        <v>3</v>
      </c>
      <c r="F7">
        <f t="shared" si="0"/>
        <v>18</v>
      </c>
      <c r="G7" s="3" t="str">
        <f t="shared" si="1"/>
        <v/>
      </c>
      <c r="H7" s="3" t="str">
        <f t="shared" si="1"/>
        <v/>
      </c>
      <c r="I7" s="3" t="str">
        <f t="shared" si="1"/>
        <v/>
      </c>
      <c r="J7" s="3" t="str">
        <f t="shared" si="1"/>
        <v/>
      </c>
      <c r="K7" s="3" t="str">
        <f t="shared" si="1"/>
        <v/>
      </c>
      <c r="L7" s="3" t="str">
        <f t="shared" si="1"/>
        <v/>
      </c>
      <c r="M7" s="3" t="str">
        <f t="shared" si="1"/>
        <v/>
      </c>
      <c r="N7" s="3" t="str">
        <f t="shared" si="1"/>
        <v/>
      </c>
      <c r="O7" s="3" t="str">
        <f t="shared" si="1"/>
        <v/>
      </c>
      <c r="P7" s="3" t="str">
        <f t="shared" si="1"/>
        <v/>
      </c>
      <c r="Q7" s="3" t="str">
        <f t="shared" si="2"/>
        <v/>
      </c>
      <c r="R7" s="3" t="str">
        <f t="shared" si="2"/>
        <v/>
      </c>
      <c r="S7" s="3" t="str">
        <f t="shared" si="2"/>
        <v/>
      </c>
      <c r="T7" s="3" t="str">
        <f t="shared" si="2"/>
        <v/>
      </c>
      <c r="U7" s="3" t="str">
        <f t="shared" si="2"/>
        <v/>
      </c>
      <c r="V7" s="3">
        <f t="shared" si="2"/>
        <v>1</v>
      </c>
      <c r="W7" s="3">
        <f t="shared" si="2"/>
        <v>1</v>
      </c>
      <c r="X7" s="3">
        <f t="shared" si="2"/>
        <v>1</v>
      </c>
      <c r="Y7" s="3" t="str">
        <f t="shared" si="2"/>
        <v/>
      </c>
      <c r="Z7" s="3" t="str">
        <f t="shared" si="2"/>
        <v/>
      </c>
      <c r="AA7" s="3" t="str">
        <f t="shared" si="3"/>
        <v/>
      </c>
      <c r="AB7" s="3" t="str">
        <f t="shared" si="3"/>
        <v/>
      </c>
      <c r="AC7" s="3" t="str">
        <f t="shared" si="3"/>
        <v/>
      </c>
      <c r="AD7" s="3" t="str">
        <f t="shared" si="3"/>
        <v/>
      </c>
      <c r="AE7" s="3" t="str">
        <f t="shared" si="3"/>
        <v/>
      </c>
      <c r="AF7" s="3" t="str">
        <f t="shared" si="3"/>
        <v/>
      </c>
      <c r="AG7" s="3" t="str">
        <f t="shared" si="3"/>
        <v/>
      </c>
      <c r="AH7" s="3" t="str">
        <f t="shared" si="3"/>
        <v/>
      </c>
      <c r="AI7" s="3" t="str">
        <f t="shared" si="3"/>
        <v/>
      </c>
      <c r="AJ7" s="3" t="str">
        <f t="shared" si="3"/>
        <v/>
      </c>
      <c r="AK7" s="3" t="str">
        <f t="shared" si="4"/>
        <v/>
      </c>
      <c r="AL7" s="3" t="str">
        <f t="shared" si="4"/>
        <v/>
      </c>
      <c r="AM7" s="3" t="str">
        <f t="shared" si="4"/>
        <v/>
      </c>
      <c r="AN7" s="3" t="str">
        <f t="shared" si="4"/>
        <v/>
      </c>
      <c r="AO7" s="3" t="str">
        <f t="shared" si="4"/>
        <v/>
      </c>
      <c r="AP7" s="3" t="str">
        <f t="shared" si="4"/>
        <v/>
      </c>
      <c r="AQ7" s="3" t="str">
        <f t="shared" si="4"/>
        <v/>
      </c>
      <c r="AR7" s="3" t="str">
        <f t="shared" si="4"/>
        <v/>
      </c>
      <c r="AS7" s="3" t="str">
        <f t="shared" si="4"/>
        <v/>
      </c>
      <c r="AT7" s="3" t="str">
        <f t="shared" si="4"/>
        <v/>
      </c>
      <c r="AU7" s="3" t="str">
        <f t="shared" si="5"/>
        <v/>
      </c>
      <c r="AV7" s="3" t="str">
        <f t="shared" si="5"/>
        <v/>
      </c>
      <c r="AW7" s="3" t="str">
        <f t="shared" si="5"/>
        <v/>
      </c>
      <c r="AX7" s="3" t="str">
        <f t="shared" si="5"/>
        <v/>
      </c>
      <c r="AY7" s="3" t="str">
        <f t="shared" si="5"/>
        <v/>
      </c>
      <c r="AZ7" s="3" t="str">
        <f t="shared" si="5"/>
        <v/>
      </c>
      <c r="BA7" s="3" t="str">
        <f t="shared" si="5"/>
        <v/>
      </c>
      <c r="BB7" s="3" t="str">
        <f t="shared" si="5"/>
        <v/>
      </c>
      <c r="BC7" s="3" t="str">
        <f t="shared" si="5"/>
        <v/>
      </c>
      <c r="BD7" s="3" t="str">
        <f t="shared" si="5"/>
        <v/>
      </c>
      <c r="BE7" s="3" t="str">
        <f t="shared" si="5"/>
        <v/>
      </c>
    </row>
    <row r="8" spans="1:57" ht="20.100000000000001" customHeight="1">
      <c r="A8">
        <v>5</v>
      </c>
      <c r="B8" t="s">
        <v>12</v>
      </c>
      <c r="C8" t="s">
        <v>13</v>
      </c>
      <c r="D8">
        <f t="shared" si="6"/>
        <v>18</v>
      </c>
      <c r="E8">
        <v>10</v>
      </c>
      <c r="F8">
        <f t="shared" si="0"/>
        <v>28</v>
      </c>
      <c r="G8" s="3" t="str">
        <f t="shared" si="1"/>
        <v/>
      </c>
      <c r="H8" s="3" t="str">
        <f t="shared" si="1"/>
        <v/>
      </c>
      <c r="I8" s="3" t="str">
        <f t="shared" si="1"/>
        <v/>
      </c>
      <c r="J8" s="3" t="str">
        <f t="shared" si="1"/>
        <v/>
      </c>
      <c r="K8" s="3" t="str">
        <f t="shared" si="1"/>
        <v/>
      </c>
      <c r="L8" s="3" t="str">
        <f t="shared" si="1"/>
        <v/>
      </c>
      <c r="M8" s="3" t="str">
        <f t="shared" si="1"/>
        <v/>
      </c>
      <c r="N8" s="3" t="str">
        <f t="shared" si="1"/>
        <v/>
      </c>
      <c r="O8" s="3" t="str">
        <f t="shared" si="1"/>
        <v/>
      </c>
      <c r="P8" s="3" t="str">
        <f t="shared" si="1"/>
        <v/>
      </c>
      <c r="Q8" s="3" t="str">
        <f t="shared" si="2"/>
        <v/>
      </c>
      <c r="R8" s="3" t="str">
        <f t="shared" si="2"/>
        <v/>
      </c>
      <c r="S8" s="3" t="str">
        <f t="shared" si="2"/>
        <v/>
      </c>
      <c r="T8" s="3" t="str">
        <f t="shared" si="2"/>
        <v/>
      </c>
      <c r="U8" s="3" t="str">
        <f t="shared" si="2"/>
        <v/>
      </c>
      <c r="V8" s="3" t="str">
        <f t="shared" si="2"/>
        <v/>
      </c>
      <c r="W8" s="3" t="str">
        <f t="shared" si="2"/>
        <v/>
      </c>
      <c r="X8" s="3" t="str">
        <f t="shared" si="2"/>
        <v/>
      </c>
      <c r="Y8" s="3">
        <f t="shared" si="2"/>
        <v>1</v>
      </c>
      <c r="Z8" s="3">
        <f t="shared" si="2"/>
        <v>1</v>
      </c>
      <c r="AA8" s="3">
        <f t="shared" si="3"/>
        <v>1</v>
      </c>
      <c r="AB8" s="3">
        <f t="shared" si="3"/>
        <v>1</v>
      </c>
      <c r="AC8" s="3">
        <f t="shared" si="3"/>
        <v>1</v>
      </c>
      <c r="AD8" s="3">
        <f t="shared" si="3"/>
        <v>1</v>
      </c>
      <c r="AE8" s="3">
        <f t="shared" si="3"/>
        <v>1</v>
      </c>
      <c r="AF8" s="3">
        <f t="shared" si="3"/>
        <v>1</v>
      </c>
      <c r="AG8" s="3">
        <f t="shared" si="3"/>
        <v>1</v>
      </c>
      <c r="AH8" s="3">
        <f t="shared" si="3"/>
        <v>1</v>
      </c>
      <c r="AI8" s="3" t="str">
        <f t="shared" si="3"/>
        <v/>
      </c>
      <c r="AJ8" s="3" t="str">
        <f t="shared" si="3"/>
        <v/>
      </c>
      <c r="AK8" s="3" t="str">
        <f t="shared" si="4"/>
        <v/>
      </c>
      <c r="AL8" s="3" t="str">
        <f t="shared" si="4"/>
        <v/>
      </c>
      <c r="AM8" s="3" t="str">
        <f t="shared" si="4"/>
        <v/>
      </c>
      <c r="AN8" s="3" t="str">
        <f t="shared" si="4"/>
        <v/>
      </c>
      <c r="AO8" s="3" t="str">
        <f t="shared" si="4"/>
        <v/>
      </c>
      <c r="AP8" s="3" t="str">
        <f t="shared" si="4"/>
        <v/>
      </c>
      <c r="AQ8" s="3" t="str">
        <f t="shared" si="4"/>
        <v/>
      </c>
      <c r="AR8" s="3" t="str">
        <f t="shared" si="4"/>
        <v/>
      </c>
      <c r="AS8" s="3" t="str">
        <f t="shared" si="4"/>
        <v/>
      </c>
      <c r="AT8" s="3" t="str">
        <f t="shared" si="4"/>
        <v/>
      </c>
      <c r="AU8" s="3" t="str">
        <f t="shared" si="5"/>
        <v/>
      </c>
      <c r="AV8" s="3" t="str">
        <f t="shared" si="5"/>
        <v/>
      </c>
      <c r="AW8" s="3" t="str">
        <f t="shared" si="5"/>
        <v/>
      </c>
      <c r="AX8" s="3" t="str">
        <f t="shared" si="5"/>
        <v/>
      </c>
      <c r="AY8" s="3" t="str">
        <f t="shared" si="5"/>
        <v/>
      </c>
      <c r="AZ8" s="3" t="str">
        <f t="shared" si="5"/>
        <v/>
      </c>
      <c r="BA8" s="3" t="str">
        <f t="shared" si="5"/>
        <v/>
      </c>
      <c r="BB8" s="3" t="str">
        <f t="shared" si="5"/>
        <v/>
      </c>
      <c r="BC8" s="3" t="str">
        <f t="shared" si="5"/>
        <v/>
      </c>
      <c r="BD8" s="3" t="str">
        <f t="shared" si="5"/>
        <v/>
      </c>
      <c r="BE8" s="3" t="str">
        <f t="shared" si="5"/>
        <v/>
      </c>
    </row>
    <row r="9" spans="1:57" ht="20.100000000000001" customHeight="1">
      <c r="A9">
        <v>6</v>
      </c>
      <c r="B9" t="s">
        <v>14</v>
      </c>
      <c r="C9" t="s">
        <v>15</v>
      </c>
      <c r="D9">
        <f t="shared" si="6"/>
        <v>28</v>
      </c>
      <c r="E9">
        <v>8</v>
      </c>
      <c r="F9">
        <f t="shared" si="0"/>
        <v>36</v>
      </c>
      <c r="G9" s="3" t="str">
        <f t="shared" si="1"/>
        <v/>
      </c>
      <c r="H9" s="3" t="str">
        <f t="shared" si="1"/>
        <v/>
      </c>
      <c r="I9" s="3" t="str">
        <f t="shared" si="1"/>
        <v/>
      </c>
      <c r="J9" s="3" t="str">
        <f t="shared" si="1"/>
        <v/>
      </c>
      <c r="K9" s="3" t="str">
        <f t="shared" si="1"/>
        <v/>
      </c>
      <c r="L9" s="3" t="str">
        <f t="shared" si="1"/>
        <v/>
      </c>
      <c r="M9" s="3" t="str">
        <f t="shared" si="1"/>
        <v/>
      </c>
      <c r="N9" s="3" t="str">
        <f t="shared" si="1"/>
        <v/>
      </c>
      <c r="O9" s="3" t="str">
        <f t="shared" si="1"/>
        <v/>
      </c>
      <c r="P9" s="3" t="str">
        <f t="shared" si="1"/>
        <v/>
      </c>
      <c r="Q9" s="3" t="str">
        <f t="shared" si="2"/>
        <v/>
      </c>
      <c r="R9" s="3" t="str">
        <f t="shared" si="2"/>
        <v/>
      </c>
      <c r="S9" s="3" t="str">
        <f t="shared" si="2"/>
        <v/>
      </c>
      <c r="T9" s="3" t="str">
        <f t="shared" si="2"/>
        <v/>
      </c>
      <c r="U9" s="3" t="str">
        <f t="shared" si="2"/>
        <v/>
      </c>
      <c r="V9" s="3" t="str">
        <f t="shared" si="2"/>
        <v/>
      </c>
      <c r="W9" s="3" t="str">
        <f t="shared" si="2"/>
        <v/>
      </c>
      <c r="X9" s="3" t="str">
        <f t="shared" si="2"/>
        <v/>
      </c>
      <c r="Y9" s="3" t="str">
        <f t="shared" si="2"/>
        <v/>
      </c>
      <c r="Z9" s="3" t="str">
        <f t="shared" si="2"/>
        <v/>
      </c>
      <c r="AA9" s="3" t="str">
        <f t="shared" si="3"/>
        <v/>
      </c>
      <c r="AB9" s="3" t="str">
        <f t="shared" si="3"/>
        <v/>
      </c>
      <c r="AC9" s="3" t="str">
        <f t="shared" si="3"/>
        <v/>
      </c>
      <c r="AD9" s="3" t="str">
        <f t="shared" si="3"/>
        <v/>
      </c>
      <c r="AE9" s="3" t="str">
        <f t="shared" si="3"/>
        <v/>
      </c>
      <c r="AF9" s="3" t="str">
        <f t="shared" si="3"/>
        <v/>
      </c>
      <c r="AG9" s="3" t="str">
        <f t="shared" si="3"/>
        <v/>
      </c>
      <c r="AH9" s="3" t="str">
        <f t="shared" si="3"/>
        <v/>
      </c>
      <c r="AI9" s="3">
        <f t="shared" si="3"/>
        <v>1</v>
      </c>
      <c r="AJ9" s="3">
        <f t="shared" si="3"/>
        <v>1</v>
      </c>
      <c r="AK9" s="3">
        <f t="shared" si="4"/>
        <v>1</v>
      </c>
      <c r="AL9" s="3">
        <f t="shared" si="4"/>
        <v>1</v>
      </c>
      <c r="AM9" s="3">
        <f t="shared" si="4"/>
        <v>1</v>
      </c>
      <c r="AN9" s="3">
        <f t="shared" si="4"/>
        <v>1</v>
      </c>
      <c r="AO9" s="3">
        <f t="shared" si="4"/>
        <v>1</v>
      </c>
      <c r="AP9" s="3">
        <f t="shared" si="4"/>
        <v>1</v>
      </c>
      <c r="AQ9" s="3" t="str">
        <f t="shared" si="4"/>
        <v/>
      </c>
      <c r="AR9" s="3" t="str">
        <f t="shared" si="4"/>
        <v/>
      </c>
      <c r="AS9" s="3" t="str">
        <f t="shared" si="4"/>
        <v/>
      </c>
      <c r="AT9" s="3" t="str">
        <f t="shared" si="4"/>
        <v/>
      </c>
      <c r="AU9" s="3" t="str">
        <f t="shared" si="5"/>
        <v/>
      </c>
      <c r="AV9" s="3" t="str">
        <f t="shared" si="5"/>
        <v/>
      </c>
      <c r="AW9" s="3" t="str">
        <f t="shared" si="5"/>
        <v/>
      </c>
      <c r="AX9" s="3" t="str">
        <f t="shared" si="5"/>
        <v/>
      </c>
      <c r="AY9" s="3" t="str">
        <f t="shared" si="5"/>
        <v/>
      </c>
      <c r="AZ9" s="3" t="str">
        <f t="shared" si="5"/>
        <v/>
      </c>
      <c r="BA9" s="3" t="str">
        <f t="shared" si="5"/>
        <v/>
      </c>
      <c r="BB9" s="3" t="str">
        <f t="shared" si="5"/>
        <v/>
      </c>
      <c r="BC9" s="3" t="str">
        <f t="shared" si="5"/>
        <v/>
      </c>
      <c r="BD9" s="3" t="str">
        <f t="shared" si="5"/>
        <v/>
      </c>
      <c r="BE9" s="3" t="str">
        <f t="shared" si="5"/>
        <v/>
      </c>
    </row>
    <row r="10" spans="1:57" ht="20.100000000000001" customHeight="1">
      <c r="A10">
        <v>7</v>
      </c>
      <c r="B10" t="s">
        <v>16</v>
      </c>
      <c r="C10" t="s">
        <v>17</v>
      </c>
      <c r="D10">
        <f t="shared" si="6"/>
        <v>36</v>
      </c>
      <c r="E10">
        <v>5</v>
      </c>
      <c r="F10">
        <f t="shared" si="0"/>
        <v>41</v>
      </c>
      <c r="G10" s="3" t="str">
        <f t="shared" si="1"/>
        <v/>
      </c>
      <c r="H10" s="3" t="str">
        <f t="shared" si="1"/>
        <v/>
      </c>
      <c r="I10" s="3" t="str">
        <f t="shared" si="1"/>
        <v/>
      </c>
      <c r="J10" s="3" t="str">
        <f t="shared" si="1"/>
        <v/>
      </c>
      <c r="K10" s="3" t="str">
        <f t="shared" si="1"/>
        <v/>
      </c>
      <c r="L10" s="3" t="str">
        <f t="shared" si="1"/>
        <v/>
      </c>
      <c r="M10" s="3" t="str">
        <f t="shared" si="1"/>
        <v/>
      </c>
      <c r="N10" s="3" t="str">
        <f t="shared" si="1"/>
        <v/>
      </c>
      <c r="O10" s="3" t="str">
        <f t="shared" si="1"/>
        <v/>
      </c>
      <c r="P10" s="3" t="str">
        <f t="shared" si="1"/>
        <v/>
      </c>
      <c r="Q10" s="3" t="str">
        <f t="shared" si="2"/>
        <v/>
      </c>
      <c r="R10" s="3" t="str">
        <f t="shared" si="2"/>
        <v/>
      </c>
      <c r="S10" s="3" t="str">
        <f t="shared" si="2"/>
        <v/>
      </c>
      <c r="T10" s="3" t="str">
        <f t="shared" si="2"/>
        <v/>
      </c>
      <c r="U10" s="3" t="str">
        <f t="shared" si="2"/>
        <v/>
      </c>
      <c r="V10" s="3" t="str">
        <f t="shared" si="2"/>
        <v/>
      </c>
      <c r="W10" s="3" t="str">
        <f t="shared" si="2"/>
        <v/>
      </c>
      <c r="X10" s="3" t="str">
        <f t="shared" si="2"/>
        <v/>
      </c>
      <c r="Y10" s="3" t="str">
        <f t="shared" si="2"/>
        <v/>
      </c>
      <c r="Z10" s="3" t="str">
        <f t="shared" si="2"/>
        <v/>
      </c>
      <c r="AA10" s="3" t="str">
        <f t="shared" si="3"/>
        <v/>
      </c>
      <c r="AB10" s="3" t="str">
        <f t="shared" si="3"/>
        <v/>
      </c>
      <c r="AC10" s="3" t="str">
        <f t="shared" si="3"/>
        <v/>
      </c>
      <c r="AD10" s="3" t="str">
        <f t="shared" si="3"/>
        <v/>
      </c>
      <c r="AE10" s="3" t="str">
        <f t="shared" si="3"/>
        <v/>
      </c>
      <c r="AF10" s="3" t="str">
        <f t="shared" si="3"/>
        <v/>
      </c>
      <c r="AG10" s="3" t="str">
        <f t="shared" si="3"/>
        <v/>
      </c>
      <c r="AH10" s="3" t="str">
        <f t="shared" si="3"/>
        <v/>
      </c>
      <c r="AI10" s="3" t="str">
        <f t="shared" si="3"/>
        <v/>
      </c>
      <c r="AJ10" s="3" t="str">
        <f t="shared" si="3"/>
        <v/>
      </c>
      <c r="AK10" s="3" t="str">
        <f t="shared" si="4"/>
        <v/>
      </c>
      <c r="AL10" s="3" t="str">
        <f t="shared" si="4"/>
        <v/>
      </c>
      <c r="AM10" s="3" t="str">
        <f t="shared" si="4"/>
        <v/>
      </c>
      <c r="AN10" s="3" t="str">
        <f t="shared" si="4"/>
        <v/>
      </c>
      <c r="AO10" s="3" t="str">
        <f t="shared" si="4"/>
        <v/>
      </c>
      <c r="AP10" s="3" t="str">
        <f t="shared" si="4"/>
        <v/>
      </c>
      <c r="AQ10" s="3">
        <f t="shared" si="4"/>
        <v>1</v>
      </c>
      <c r="AR10" s="3">
        <f t="shared" si="4"/>
        <v>1</v>
      </c>
      <c r="AS10" s="3">
        <f t="shared" si="4"/>
        <v>1</v>
      </c>
      <c r="AT10" s="3">
        <f t="shared" si="4"/>
        <v>1</v>
      </c>
      <c r="AU10" s="3">
        <f t="shared" si="5"/>
        <v>1</v>
      </c>
      <c r="AV10" s="3" t="str">
        <f t="shared" si="5"/>
        <v/>
      </c>
      <c r="AW10" s="3" t="str">
        <f t="shared" si="5"/>
        <v/>
      </c>
      <c r="AX10" s="3" t="str">
        <f t="shared" si="5"/>
        <v/>
      </c>
      <c r="AY10" s="3" t="str">
        <f t="shared" si="5"/>
        <v/>
      </c>
      <c r="AZ10" s="3" t="str">
        <f t="shared" si="5"/>
        <v/>
      </c>
      <c r="BA10" s="3" t="str">
        <f t="shared" si="5"/>
        <v/>
      </c>
      <c r="BB10" s="3" t="str">
        <f t="shared" si="5"/>
        <v/>
      </c>
      <c r="BC10" s="3" t="str">
        <f t="shared" si="5"/>
        <v/>
      </c>
      <c r="BD10" s="3" t="str">
        <f t="shared" si="5"/>
        <v/>
      </c>
      <c r="BE10" s="3" t="str">
        <f t="shared" si="5"/>
        <v/>
      </c>
    </row>
    <row r="11" spans="1:57" ht="20.100000000000001" customHeight="1">
      <c r="A11">
        <v>8</v>
      </c>
      <c r="B11" t="s">
        <v>18</v>
      </c>
      <c r="C11" t="s">
        <v>17</v>
      </c>
      <c r="D11">
        <f t="shared" si="6"/>
        <v>41</v>
      </c>
      <c r="E11">
        <v>3</v>
      </c>
      <c r="F11">
        <f t="shared" si="0"/>
        <v>44</v>
      </c>
      <c r="G11" s="3" t="str">
        <f t="shared" si="1"/>
        <v/>
      </c>
      <c r="H11" s="3" t="str">
        <f t="shared" si="1"/>
        <v/>
      </c>
      <c r="I11" s="3" t="str">
        <f t="shared" si="1"/>
        <v/>
      </c>
      <c r="J11" s="3" t="str">
        <f t="shared" si="1"/>
        <v/>
      </c>
      <c r="K11" s="3" t="str">
        <f t="shared" si="1"/>
        <v/>
      </c>
      <c r="L11" s="3" t="str">
        <f t="shared" si="1"/>
        <v/>
      </c>
      <c r="M11" s="3" t="str">
        <f t="shared" si="1"/>
        <v/>
      </c>
      <c r="N11" s="3" t="str">
        <f t="shared" si="1"/>
        <v/>
      </c>
      <c r="O11" s="3" t="str">
        <f t="shared" si="1"/>
        <v/>
      </c>
      <c r="P11" s="3" t="str">
        <f t="shared" si="1"/>
        <v/>
      </c>
      <c r="Q11" s="3" t="str">
        <f t="shared" si="2"/>
        <v/>
      </c>
      <c r="R11" s="3" t="str">
        <f t="shared" si="2"/>
        <v/>
      </c>
      <c r="S11" s="3" t="str">
        <f t="shared" si="2"/>
        <v/>
      </c>
      <c r="T11" s="3" t="str">
        <f t="shared" si="2"/>
        <v/>
      </c>
      <c r="U11" s="3" t="str">
        <f t="shared" si="2"/>
        <v/>
      </c>
      <c r="V11" s="3" t="str">
        <f t="shared" si="2"/>
        <v/>
      </c>
      <c r="W11" s="3" t="str">
        <f t="shared" si="2"/>
        <v/>
      </c>
      <c r="X11" s="3" t="str">
        <f t="shared" si="2"/>
        <v/>
      </c>
      <c r="Y11" s="3" t="str">
        <f t="shared" si="2"/>
        <v/>
      </c>
      <c r="Z11" s="3" t="str">
        <f t="shared" si="2"/>
        <v/>
      </c>
      <c r="AA11" s="3" t="str">
        <f t="shared" si="3"/>
        <v/>
      </c>
      <c r="AB11" s="3" t="str">
        <f t="shared" si="3"/>
        <v/>
      </c>
      <c r="AC11" s="3" t="str">
        <f t="shared" si="3"/>
        <v/>
      </c>
      <c r="AD11" s="3" t="str">
        <f t="shared" si="3"/>
        <v/>
      </c>
      <c r="AE11" s="3" t="str">
        <f t="shared" si="3"/>
        <v/>
      </c>
      <c r="AF11" s="3" t="str">
        <f t="shared" si="3"/>
        <v/>
      </c>
      <c r="AG11" s="3" t="str">
        <f t="shared" si="3"/>
        <v/>
      </c>
      <c r="AH11" s="3" t="str">
        <f t="shared" si="3"/>
        <v/>
      </c>
      <c r="AI11" s="3" t="str">
        <f t="shared" si="3"/>
        <v/>
      </c>
      <c r="AJ11" s="3" t="str">
        <f t="shared" si="3"/>
        <v/>
      </c>
      <c r="AK11" s="3" t="str">
        <f t="shared" si="4"/>
        <v/>
      </c>
      <c r="AL11" s="3" t="str">
        <f t="shared" si="4"/>
        <v/>
      </c>
      <c r="AM11" s="3" t="str">
        <f t="shared" si="4"/>
        <v/>
      </c>
      <c r="AN11" s="3" t="str">
        <f t="shared" si="4"/>
        <v/>
      </c>
      <c r="AO11" s="3" t="str">
        <f t="shared" si="4"/>
        <v/>
      </c>
      <c r="AP11" s="3" t="str">
        <f t="shared" si="4"/>
        <v/>
      </c>
      <c r="AQ11" s="3" t="str">
        <f t="shared" si="4"/>
        <v/>
      </c>
      <c r="AR11" s="3" t="str">
        <f t="shared" si="4"/>
        <v/>
      </c>
      <c r="AS11" s="3" t="str">
        <f t="shared" si="4"/>
        <v/>
      </c>
      <c r="AT11" s="3" t="str">
        <f t="shared" si="4"/>
        <v/>
      </c>
      <c r="AU11" s="3" t="str">
        <f t="shared" si="5"/>
        <v/>
      </c>
      <c r="AV11" s="3">
        <f t="shared" si="5"/>
        <v>1</v>
      </c>
      <c r="AW11" s="3">
        <f t="shared" si="5"/>
        <v>1</v>
      </c>
      <c r="AX11" s="3">
        <f t="shared" si="5"/>
        <v>1</v>
      </c>
      <c r="AY11" s="3" t="str">
        <f t="shared" si="5"/>
        <v/>
      </c>
      <c r="AZ11" s="3" t="str">
        <f t="shared" si="5"/>
        <v/>
      </c>
      <c r="BA11" s="3" t="str">
        <f t="shared" si="5"/>
        <v/>
      </c>
      <c r="BB11" s="3" t="str">
        <f t="shared" si="5"/>
        <v/>
      </c>
      <c r="BC11" s="3" t="str">
        <f t="shared" si="5"/>
        <v/>
      </c>
      <c r="BD11" s="3" t="str">
        <f t="shared" si="5"/>
        <v/>
      </c>
      <c r="BE11" s="3" t="str">
        <f t="shared" si="5"/>
        <v/>
      </c>
    </row>
    <row r="12" spans="1:57" ht="20.100000000000001" customHeight="1">
      <c r="A12">
        <v>9</v>
      </c>
      <c r="B12" t="s">
        <v>19</v>
      </c>
      <c r="C12" t="s">
        <v>17</v>
      </c>
      <c r="D12">
        <f t="shared" si="6"/>
        <v>44</v>
      </c>
      <c r="E12">
        <v>2</v>
      </c>
      <c r="F12">
        <f t="shared" si="0"/>
        <v>46</v>
      </c>
      <c r="G12" s="3" t="str">
        <f t="shared" si="1"/>
        <v/>
      </c>
      <c r="H12" s="3" t="str">
        <f t="shared" si="1"/>
        <v/>
      </c>
      <c r="I12" s="3" t="str">
        <f t="shared" si="1"/>
        <v/>
      </c>
      <c r="J12" s="3" t="str">
        <f t="shared" si="1"/>
        <v/>
      </c>
      <c r="K12" s="3" t="str">
        <f t="shared" si="1"/>
        <v/>
      </c>
      <c r="L12" s="3" t="str">
        <f t="shared" si="1"/>
        <v/>
      </c>
      <c r="M12" s="3" t="str">
        <f t="shared" si="1"/>
        <v/>
      </c>
      <c r="N12" s="3" t="str">
        <f t="shared" si="1"/>
        <v/>
      </c>
      <c r="O12" s="3" t="str">
        <f t="shared" si="1"/>
        <v/>
      </c>
      <c r="P12" s="3" t="str">
        <f t="shared" si="1"/>
        <v/>
      </c>
      <c r="Q12" s="3" t="str">
        <f t="shared" si="2"/>
        <v/>
      </c>
      <c r="R12" s="3" t="str">
        <f t="shared" si="2"/>
        <v/>
      </c>
      <c r="S12" s="3" t="str">
        <f t="shared" si="2"/>
        <v/>
      </c>
      <c r="T12" s="3" t="str">
        <f t="shared" si="2"/>
        <v/>
      </c>
      <c r="U12" s="3" t="str">
        <f t="shared" si="2"/>
        <v/>
      </c>
      <c r="V12" s="3" t="str">
        <f t="shared" si="2"/>
        <v/>
      </c>
      <c r="W12" s="3" t="str">
        <f t="shared" si="2"/>
        <v/>
      </c>
      <c r="X12" s="3" t="str">
        <f t="shared" si="2"/>
        <v/>
      </c>
      <c r="Y12" s="3" t="str">
        <f t="shared" si="2"/>
        <v/>
      </c>
      <c r="Z12" s="3" t="str">
        <f t="shared" si="2"/>
        <v/>
      </c>
      <c r="AA12" s="3" t="str">
        <f t="shared" si="3"/>
        <v/>
      </c>
      <c r="AB12" s="3" t="str">
        <f t="shared" si="3"/>
        <v/>
      </c>
      <c r="AC12" s="3" t="str">
        <f t="shared" si="3"/>
        <v/>
      </c>
      <c r="AD12" s="3" t="str">
        <f t="shared" si="3"/>
        <v/>
      </c>
      <c r="AE12" s="3" t="str">
        <f t="shared" si="3"/>
        <v/>
      </c>
      <c r="AF12" s="3" t="str">
        <f t="shared" si="3"/>
        <v/>
      </c>
      <c r="AG12" s="3" t="str">
        <f t="shared" si="3"/>
        <v/>
      </c>
      <c r="AH12" s="3" t="str">
        <f t="shared" si="3"/>
        <v/>
      </c>
      <c r="AI12" s="3" t="str">
        <f t="shared" si="3"/>
        <v/>
      </c>
      <c r="AJ12" s="3" t="str">
        <f t="shared" si="3"/>
        <v/>
      </c>
      <c r="AK12" s="3" t="str">
        <f t="shared" si="4"/>
        <v/>
      </c>
      <c r="AL12" s="3" t="str">
        <f t="shared" si="4"/>
        <v/>
      </c>
      <c r="AM12" s="3" t="str">
        <f t="shared" si="4"/>
        <v/>
      </c>
      <c r="AN12" s="3" t="str">
        <f t="shared" si="4"/>
        <v/>
      </c>
      <c r="AO12" s="3" t="str">
        <f t="shared" si="4"/>
        <v/>
      </c>
      <c r="AP12" s="3" t="str">
        <f t="shared" si="4"/>
        <v/>
      </c>
      <c r="AQ12" s="3" t="str">
        <f t="shared" si="4"/>
        <v/>
      </c>
      <c r="AR12" s="3" t="str">
        <f t="shared" si="4"/>
        <v/>
      </c>
      <c r="AS12" s="3" t="str">
        <f t="shared" si="4"/>
        <v/>
      </c>
      <c r="AT12" s="3" t="str">
        <f t="shared" si="4"/>
        <v/>
      </c>
      <c r="AU12" s="3" t="str">
        <f t="shared" si="5"/>
        <v/>
      </c>
      <c r="AV12" s="3" t="str">
        <f t="shared" si="5"/>
        <v/>
      </c>
      <c r="AW12" s="3" t="str">
        <f t="shared" si="5"/>
        <v/>
      </c>
      <c r="AX12" s="3" t="str">
        <f t="shared" si="5"/>
        <v/>
      </c>
      <c r="AY12" s="3">
        <f t="shared" si="5"/>
        <v>1</v>
      </c>
      <c r="AZ12" s="3">
        <f t="shared" si="5"/>
        <v>1</v>
      </c>
      <c r="BA12" s="3" t="str">
        <f t="shared" si="5"/>
        <v/>
      </c>
      <c r="BB12" s="3" t="str">
        <f t="shared" si="5"/>
        <v/>
      </c>
      <c r="BC12" s="3" t="str">
        <f t="shared" si="5"/>
        <v/>
      </c>
      <c r="BD12" s="3" t="str">
        <f t="shared" si="5"/>
        <v/>
      </c>
      <c r="BE12" s="3" t="str">
        <f t="shared" si="5"/>
        <v/>
      </c>
    </row>
    <row r="13" spans="1:57" ht="20.100000000000001" customHeight="1"/>
    <row r="14" spans="1:57" ht="20.100000000000001" customHeight="1">
      <c r="A14" s="57" t="s">
        <v>20</v>
      </c>
      <c r="B14" s="57"/>
      <c r="C14" s="57"/>
      <c r="D14" s="1">
        <f>SUM(E4:E12)</f>
        <v>46</v>
      </c>
      <c r="E14" s="1" t="s">
        <v>21</v>
      </c>
    </row>
    <row r="15" spans="1:57" ht="20.100000000000001" customHeight="1"/>
    <row r="16" spans="1:57" ht="36" customHeight="1">
      <c r="A16" s="58" t="s">
        <v>22</v>
      </c>
      <c r="B16" s="55"/>
      <c r="C16" s="55"/>
      <c r="D16" s="55"/>
      <c r="E16" s="55"/>
      <c r="F16" s="55"/>
    </row>
    <row r="17" spans="1:6" ht="15" customHeight="1">
      <c r="A17" s="55"/>
      <c r="B17" s="55"/>
      <c r="C17" s="55"/>
      <c r="D17" s="55"/>
      <c r="E17" s="55"/>
      <c r="F17" s="55"/>
    </row>
    <row r="18" spans="1:6" ht="15" customHeight="1">
      <c r="A18" s="55"/>
      <c r="B18" s="55"/>
      <c r="C18" s="55"/>
      <c r="D18" s="55"/>
      <c r="E18" s="55"/>
      <c r="F18" s="55"/>
    </row>
  </sheetData>
  <mergeCells count="3">
    <mergeCell ref="A16:F18"/>
    <mergeCell ref="A14:C14"/>
    <mergeCell ref="A1:F1"/>
  </mergeCells>
  <conditionalFormatting sqref="G4:BE4">
    <cfRule type="expression" dxfId="18" priority="1">
      <formula>G4=1</formula>
    </cfRule>
  </conditionalFormatting>
  <conditionalFormatting sqref="G5:BE5">
    <cfRule type="expression" dxfId="17" priority="2">
      <formula>G5=1</formula>
    </cfRule>
  </conditionalFormatting>
  <conditionalFormatting sqref="G6:BE6">
    <cfRule type="expression" dxfId="16" priority="3">
      <formula>G6=1</formula>
    </cfRule>
  </conditionalFormatting>
  <conditionalFormatting sqref="G7:BE7">
    <cfRule type="expression" dxfId="15" priority="4">
      <formula>G7=1</formula>
    </cfRule>
  </conditionalFormatting>
  <conditionalFormatting sqref="G8:BE8">
    <cfRule type="expression" dxfId="14" priority="5">
      <formula>G8=1</formula>
    </cfRule>
  </conditionalFormatting>
  <conditionalFormatting sqref="G9:BE9">
    <cfRule type="expression" dxfId="13" priority="6">
      <formula>G9=1</formula>
    </cfRule>
  </conditionalFormatting>
  <conditionalFormatting sqref="G10:BE10">
    <cfRule type="expression" dxfId="12" priority="7">
      <formula>G10=1</formula>
    </cfRule>
  </conditionalFormatting>
  <conditionalFormatting sqref="G11:BE11">
    <cfRule type="expression" dxfId="11" priority="8">
      <formula>G11=1</formula>
    </cfRule>
  </conditionalFormatting>
  <conditionalFormatting sqref="G12:BE12">
    <cfRule type="expression" dxfId="10" priority="9">
      <formula>G12=1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5"/>
  <sheetViews>
    <sheetView showGridLines="0" workbookViewId="0">
      <pane xSplit="6" ySplit="3" topLeftCell="G4" activePane="bottomRight" state="frozen"/>
      <selection pane="topRight"/>
      <selection pane="bottomLeft"/>
      <selection pane="bottomRight" sqref="A1:F1"/>
    </sheetView>
  </sheetViews>
  <sheetFormatPr baseColWidth="10" defaultColWidth="9.140625" defaultRowHeight="15"/>
  <cols>
    <col min="1" max="1" width="26" customWidth="1"/>
    <col min="2" max="2" width="18" customWidth="1"/>
    <col min="3" max="3" width="8" customWidth="1"/>
    <col min="4" max="4" width="9" customWidth="1"/>
    <col min="5" max="5" width="8" customWidth="1"/>
    <col min="7" max="57" width="3" customWidth="1"/>
  </cols>
  <sheetData>
    <row r="1" spans="1:57" ht="24" customHeight="1">
      <c r="A1" s="54" t="s">
        <v>42</v>
      </c>
      <c r="B1" s="55"/>
      <c r="C1" s="55"/>
      <c r="D1" s="55"/>
      <c r="E1" s="55"/>
      <c r="F1" s="55"/>
    </row>
    <row r="2" spans="1:57" ht="20.100000000000001" customHeight="1"/>
    <row r="3" spans="1:57" ht="20.100000000000001" customHeight="1">
      <c r="A3" s="1" t="s">
        <v>24</v>
      </c>
      <c r="B3" s="1" t="s">
        <v>25</v>
      </c>
      <c r="C3" s="1" t="s">
        <v>4</v>
      </c>
      <c r="D3" s="1" t="s">
        <v>5</v>
      </c>
      <c r="E3" s="1" t="s">
        <v>6</v>
      </c>
      <c r="G3" s="2">
        <v>0</v>
      </c>
      <c r="H3" s="2">
        <v>1</v>
      </c>
      <c r="I3" s="2">
        <v>2</v>
      </c>
      <c r="J3" s="2">
        <v>3</v>
      </c>
      <c r="K3" s="2">
        <v>4</v>
      </c>
      <c r="L3" s="2">
        <v>5</v>
      </c>
      <c r="M3" s="2">
        <v>6</v>
      </c>
      <c r="N3" s="2">
        <v>7</v>
      </c>
      <c r="O3" s="2">
        <v>8</v>
      </c>
      <c r="P3" s="2">
        <v>9</v>
      </c>
      <c r="Q3" s="2">
        <v>10</v>
      </c>
      <c r="R3" s="2">
        <v>11</v>
      </c>
      <c r="S3" s="2">
        <v>12</v>
      </c>
      <c r="T3" s="2">
        <v>13</v>
      </c>
      <c r="U3" s="2">
        <v>14</v>
      </c>
      <c r="V3" s="2">
        <v>15</v>
      </c>
      <c r="W3" s="2">
        <v>16</v>
      </c>
      <c r="X3" s="2">
        <v>17</v>
      </c>
      <c r="Y3" s="2">
        <v>18</v>
      </c>
      <c r="Z3" s="2">
        <v>19</v>
      </c>
      <c r="AA3" s="2">
        <v>20</v>
      </c>
      <c r="AB3" s="2">
        <v>21</v>
      </c>
      <c r="AC3" s="2">
        <v>22</v>
      </c>
      <c r="AD3" s="2">
        <v>23</v>
      </c>
      <c r="AE3" s="2">
        <v>24</v>
      </c>
      <c r="AF3" s="2">
        <v>25</v>
      </c>
      <c r="AG3" s="2">
        <v>26</v>
      </c>
      <c r="AH3" s="2">
        <v>27</v>
      </c>
      <c r="AI3" s="2">
        <v>28</v>
      </c>
      <c r="AJ3" s="2">
        <v>29</v>
      </c>
      <c r="AK3" s="2">
        <v>30</v>
      </c>
      <c r="AL3" s="2">
        <v>31</v>
      </c>
      <c r="AM3" s="2">
        <v>32</v>
      </c>
      <c r="AN3" s="2">
        <v>33</v>
      </c>
      <c r="AO3" s="2">
        <v>34</v>
      </c>
      <c r="AP3" s="2">
        <v>35</v>
      </c>
      <c r="AQ3" s="2">
        <v>36</v>
      </c>
      <c r="AR3" s="2">
        <v>37</v>
      </c>
      <c r="AS3" s="2">
        <v>38</v>
      </c>
      <c r="AT3" s="2">
        <v>39</v>
      </c>
      <c r="AU3" s="2">
        <v>40</v>
      </c>
      <c r="AV3" s="2">
        <v>41</v>
      </c>
      <c r="AW3" s="2">
        <v>42</v>
      </c>
      <c r="AX3" s="2">
        <v>43</v>
      </c>
      <c r="AY3" s="2">
        <v>44</v>
      </c>
      <c r="AZ3" s="2">
        <v>45</v>
      </c>
      <c r="BA3" s="2">
        <v>46</v>
      </c>
      <c r="BB3" s="2">
        <v>47</v>
      </c>
      <c r="BC3" s="2">
        <v>48</v>
      </c>
      <c r="BD3" s="2">
        <v>49</v>
      </c>
      <c r="BE3" s="2">
        <v>50</v>
      </c>
    </row>
    <row r="4" spans="1:57" ht="20.100000000000001" customHeight="1">
      <c r="A4" t="s">
        <v>8</v>
      </c>
      <c r="B4" t="s">
        <v>26</v>
      </c>
      <c r="C4">
        <f>MIN('Gantt actividades'!D4:D7)</f>
        <v>0</v>
      </c>
      <c r="D4">
        <f>SUM('Gantt actividades'!E4:E7)</f>
        <v>18</v>
      </c>
      <c r="E4">
        <f t="shared" ref="E4:E13" si="0">C4+D4</f>
        <v>18</v>
      </c>
      <c r="G4" s="3">
        <f t="shared" ref="G4:P13" si="1">IF(AND(G$3&gt;=$C4,G$3&lt;$E4),1,"")</f>
        <v>1</v>
      </c>
      <c r="H4" s="3">
        <f t="shared" si="1"/>
        <v>1</v>
      </c>
      <c r="I4" s="3">
        <f t="shared" si="1"/>
        <v>1</v>
      </c>
      <c r="J4" s="3">
        <f t="shared" si="1"/>
        <v>1</v>
      </c>
      <c r="K4" s="3">
        <f t="shared" si="1"/>
        <v>1</v>
      </c>
      <c r="L4" s="3">
        <f t="shared" si="1"/>
        <v>1</v>
      </c>
      <c r="M4" s="3">
        <f t="shared" si="1"/>
        <v>1</v>
      </c>
      <c r="N4" s="3">
        <f t="shared" si="1"/>
        <v>1</v>
      </c>
      <c r="O4" s="3">
        <f t="shared" si="1"/>
        <v>1</v>
      </c>
      <c r="P4" s="3">
        <f t="shared" si="1"/>
        <v>1</v>
      </c>
      <c r="Q4" s="3">
        <f t="shared" ref="Q4:Z13" si="2">IF(AND(Q$3&gt;=$C4,Q$3&lt;$E4),1,"")</f>
        <v>1</v>
      </c>
      <c r="R4" s="3">
        <f t="shared" si="2"/>
        <v>1</v>
      </c>
      <c r="S4" s="3">
        <f t="shared" si="2"/>
        <v>1</v>
      </c>
      <c r="T4" s="3">
        <f t="shared" si="2"/>
        <v>1</v>
      </c>
      <c r="U4" s="3">
        <f t="shared" si="2"/>
        <v>1</v>
      </c>
      <c r="V4" s="3">
        <f t="shared" si="2"/>
        <v>1</v>
      </c>
      <c r="W4" s="3">
        <f t="shared" si="2"/>
        <v>1</v>
      </c>
      <c r="X4" s="3">
        <f t="shared" si="2"/>
        <v>1</v>
      </c>
      <c r="Y4" s="3" t="str">
        <f t="shared" si="2"/>
        <v/>
      </c>
      <c r="Z4" s="3" t="str">
        <f t="shared" si="2"/>
        <v/>
      </c>
      <c r="AA4" s="3" t="str">
        <f t="shared" ref="AA4:AJ13" si="3">IF(AND(AA$3&gt;=$C4,AA$3&lt;$E4),1,"")</f>
        <v/>
      </c>
      <c r="AB4" s="3" t="str">
        <f t="shared" si="3"/>
        <v/>
      </c>
      <c r="AC4" s="3" t="str">
        <f t="shared" si="3"/>
        <v/>
      </c>
      <c r="AD4" s="3" t="str">
        <f t="shared" si="3"/>
        <v/>
      </c>
      <c r="AE4" s="3" t="str">
        <f t="shared" si="3"/>
        <v/>
      </c>
      <c r="AF4" s="3" t="str">
        <f t="shared" si="3"/>
        <v/>
      </c>
      <c r="AG4" s="3" t="str">
        <f t="shared" si="3"/>
        <v/>
      </c>
      <c r="AH4" s="3" t="str">
        <f t="shared" si="3"/>
        <v/>
      </c>
      <c r="AI4" s="3" t="str">
        <f t="shared" si="3"/>
        <v/>
      </c>
      <c r="AJ4" s="3" t="str">
        <f t="shared" si="3"/>
        <v/>
      </c>
      <c r="AK4" s="3" t="str">
        <f t="shared" ref="AK4:AT13" si="4">IF(AND(AK$3&gt;=$C4,AK$3&lt;$E4),1,"")</f>
        <v/>
      </c>
      <c r="AL4" s="3" t="str">
        <f t="shared" si="4"/>
        <v/>
      </c>
      <c r="AM4" s="3" t="str">
        <f t="shared" si="4"/>
        <v/>
      </c>
      <c r="AN4" s="3" t="str">
        <f t="shared" si="4"/>
        <v/>
      </c>
      <c r="AO4" s="3" t="str">
        <f t="shared" si="4"/>
        <v/>
      </c>
      <c r="AP4" s="3" t="str">
        <f t="shared" si="4"/>
        <v/>
      </c>
      <c r="AQ4" s="3" t="str">
        <f t="shared" si="4"/>
        <v/>
      </c>
      <c r="AR4" s="3" t="str">
        <f t="shared" si="4"/>
        <v/>
      </c>
      <c r="AS4" s="3" t="str">
        <f t="shared" si="4"/>
        <v/>
      </c>
      <c r="AT4" s="3" t="str">
        <f t="shared" si="4"/>
        <v/>
      </c>
      <c r="AU4" s="3" t="str">
        <f t="shared" ref="AU4:BE13" si="5">IF(AND(AU$3&gt;=$C4,AU$3&lt;$E4),1,"")</f>
        <v/>
      </c>
      <c r="AV4" s="3" t="str">
        <f t="shared" si="5"/>
        <v/>
      </c>
      <c r="AW4" s="3" t="str">
        <f t="shared" si="5"/>
        <v/>
      </c>
      <c r="AX4" s="3" t="str">
        <f t="shared" si="5"/>
        <v/>
      </c>
      <c r="AY4" s="3" t="str">
        <f t="shared" si="5"/>
        <v/>
      </c>
      <c r="AZ4" s="3" t="str">
        <f t="shared" si="5"/>
        <v/>
      </c>
      <c r="BA4" s="3" t="str">
        <f t="shared" si="5"/>
        <v/>
      </c>
      <c r="BB4" s="3" t="str">
        <f t="shared" si="5"/>
        <v/>
      </c>
      <c r="BC4" s="3" t="str">
        <f t="shared" si="5"/>
        <v/>
      </c>
      <c r="BD4" s="3" t="str">
        <f t="shared" si="5"/>
        <v/>
      </c>
      <c r="BE4" s="3" t="str">
        <f t="shared" si="5"/>
        <v/>
      </c>
    </row>
    <row r="5" spans="1:57" ht="20.100000000000001" customHeight="1">
      <c r="A5" t="s">
        <v>13</v>
      </c>
      <c r="B5" t="s">
        <v>27</v>
      </c>
      <c r="C5">
        <f>'Gantt actividades'!D8</f>
        <v>18</v>
      </c>
      <c r="D5">
        <f>'Gantt actividades'!E8</f>
        <v>10</v>
      </c>
      <c r="E5">
        <f t="shared" si="0"/>
        <v>28</v>
      </c>
      <c r="G5" s="3" t="str">
        <f t="shared" si="1"/>
        <v/>
      </c>
      <c r="H5" s="3" t="str">
        <f t="shared" si="1"/>
        <v/>
      </c>
      <c r="I5" s="3" t="str">
        <f t="shared" si="1"/>
        <v/>
      </c>
      <c r="J5" s="3" t="str">
        <f t="shared" si="1"/>
        <v/>
      </c>
      <c r="K5" s="3" t="str">
        <f t="shared" si="1"/>
        <v/>
      </c>
      <c r="L5" s="3" t="str">
        <f t="shared" si="1"/>
        <v/>
      </c>
      <c r="M5" s="3" t="str">
        <f t="shared" si="1"/>
        <v/>
      </c>
      <c r="N5" s="3" t="str">
        <f t="shared" si="1"/>
        <v/>
      </c>
      <c r="O5" s="3" t="str">
        <f t="shared" si="1"/>
        <v/>
      </c>
      <c r="P5" s="3" t="str">
        <f t="shared" si="1"/>
        <v/>
      </c>
      <c r="Q5" s="3" t="str">
        <f t="shared" si="2"/>
        <v/>
      </c>
      <c r="R5" s="3" t="str">
        <f t="shared" si="2"/>
        <v/>
      </c>
      <c r="S5" s="3" t="str">
        <f t="shared" si="2"/>
        <v/>
      </c>
      <c r="T5" s="3" t="str">
        <f t="shared" si="2"/>
        <v/>
      </c>
      <c r="U5" s="3" t="str">
        <f t="shared" si="2"/>
        <v/>
      </c>
      <c r="V5" s="3" t="str">
        <f t="shared" si="2"/>
        <v/>
      </c>
      <c r="W5" s="3" t="str">
        <f t="shared" si="2"/>
        <v/>
      </c>
      <c r="X5" s="3" t="str">
        <f t="shared" si="2"/>
        <v/>
      </c>
      <c r="Y5" s="3">
        <f t="shared" si="2"/>
        <v>1</v>
      </c>
      <c r="Z5" s="3">
        <f t="shared" si="2"/>
        <v>1</v>
      </c>
      <c r="AA5" s="3">
        <f t="shared" si="3"/>
        <v>1</v>
      </c>
      <c r="AB5" s="3">
        <f t="shared" si="3"/>
        <v>1</v>
      </c>
      <c r="AC5" s="3">
        <f t="shared" si="3"/>
        <v>1</v>
      </c>
      <c r="AD5" s="3">
        <f t="shared" si="3"/>
        <v>1</v>
      </c>
      <c r="AE5" s="3">
        <f t="shared" si="3"/>
        <v>1</v>
      </c>
      <c r="AF5" s="3">
        <f t="shared" si="3"/>
        <v>1</v>
      </c>
      <c r="AG5" s="3">
        <f t="shared" si="3"/>
        <v>1</v>
      </c>
      <c r="AH5" s="3">
        <f t="shared" si="3"/>
        <v>1</v>
      </c>
      <c r="AI5" s="3" t="str">
        <f t="shared" si="3"/>
        <v/>
      </c>
      <c r="AJ5" s="3" t="str">
        <f t="shared" si="3"/>
        <v/>
      </c>
      <c r="AK5" s="3" t="str">
        <f t="shared" si="4"/>
        <v/>
      </c>
      <c r="AL5" s="3" t="str">
        <f t="shared" si="4"/>
        <v/>
      </c>
      <c r="AM5" s="3" t="str">
        <f t="shared" si="4"/>
        <v/>
      </c>
      <c r="AN5" s="3" t="str">
        <f t="shared" si="4"/>
        <v/>
      </c>
      <c r="AO5" s="3" t="str">
        <f t="shared" si="4"/>
        <v/>
      </c>
      <c r="AP5" s="3" t="str">
        <f t="shared" si="4"/>
        <v/>
      </c>
      <c r="AQ5" s="3" t="str">
        <f t="shared" si="4"/>
        <v/>
      </c>
      <c r="AR5" s="3" t="str">
        <f t="shared" si="4"/>
        <v/>
      </c>
      <c r="AS5" s="3" t="str">
        <f t="shared" si="4"/>
        <v/>
      </c>
      <c r="AT5" s="3" t="str">
        <f t="shared" si="4"/>
        <v/>
      </c>
      <c r="AU5" s="3" t="str">
        <f t="shared" si="5"/>
        <v/>
      </c>
      <c r="AV5" s="3" t="str">
        <f t="shared" si="5"/>
        <v/>
      </c>
      <c r="AW5" s="3" t="str">
        <f t="shared" si="5"/>
        <v/>
      </c>
      <c r="AX5" s="3" t="str">
        <f t="shared" si="5"/>
        <v/>
      </c>
      <c r="AY5" s="3" t="str">
        <f t="shared" si="5"/>
        <v/>
      </c>
      <c r="AZ5" s="3" t="str">
        <f t="shared" si="5"/>
        <v/>
      </c>
      <c r="BA5" s="3" t="str">
        <f t="shared" si="5"/>
        <v/>
      </c>
      <c r="BB5" s="3" t="str">
        <f t="shared" si="5"/>
        <v/>
      </c>
      <c r="BC5" s="3" t="str">
        <f t="shared" si="5"/>
        <v/>
      </c>
      <c r="BD5" s="3" t="str">
        <f t="shared" si="5"/>
        <v/>
      </c>
      <c r="BE5" s="3" t="str">
        <f t="shared" si="5"/>
        <v/>
      </c>
    </row>
    <row r="6" spans="1:57" ht="20.100000000000001" customHeight="1">
      <c r="A6" t="s">
        <v>15</v>
      </c>
      <c r="B6" t="s">
        <v>28</v>
      </c>
      <c r="C6">
        <f>'Gantt actividades'!D9</f>
        <v>28</v>
      </c>
      <c r="D6">
        <f>'Gantt actividades'!E9</f>
        <v>8</v>
      </c>
      <c r="E6">
        <f t="shared" si="0"/>
        <v>36</v>
      </c>
      <c r="G6" s="3" t="str">
        <f t="shared" si="1"/>
        <v/>
      </c>
      <c r="H6" s="3" t="str">
        <f t="shared" si="1"/>
        <v/>
      </c>
      <c r="I6" s="3" t="str">
        <f t="shared" si="1"/>
        <v/>
      </c>
      <c r="J6" s="3" t="str">
        <f t="shared" si="1"/>
        <v/>
      </c>
      <c r="K6" s="3" t="str">
        <f t="shared" si="1"/>
        <v/>
      </c>
      <c r="L6" s="3" t="str">
        <f t="shared" si="1"/>
        <v/>
      </c>
      <c r="M6" s="3" t="str">
        <f t="shared" si="1"/>
        <v/>
      </c>
      <c r="N6" s="3" t="str">
        <f t="shared" si="1"/>
        <v/>
      </c>
      <c r="O6" s="3" t="str">
        <f t="shared" si="1"/>
        <v/>
      </c>
      <c r="P6" s="3" t="str">
        <f t="shared" si="1"/>
        <v/>
      </c>
      <c r="Q6" s="3" t="str">
        <f t="shared" si="2"/>
        <v/>
      </c>
      <c r="R6" s="3" t="str">
        <f t="shared" si="2"/>
        <v/>
      </c>
      <c r="S6" s="3" t="str">
        <f t="shared" si="2"/>
        <v/>
      </c>
      <c r="T6" s="3" t="str">
        <f t="shared" si="2"/>
        <v/>
      </c>
      <c r="U6" s="3" t="str">
        <f t="shared" si="2"/>
        <v/>
      </c>
      <c r="V6" s="3" t="str">
        <f t="shared" si="2"/>
        <v/>
      </c>
      <c r="W6" s="3" t="str">
        <f t="shared" si="2"/>
        <v/>
      </c>
      <c r="X6" s="3" t="str">
        <f t="shared" si="2"/>
        <v/>
      </c>
      <c r="Y6" s="3" t="str">
        <f t="shared" si="2"/>
        <v/>
      </c>
      <c r="Z6" s="3" t="str">
        <f t="shared" si="2"/>
        <v/>
      </c>
      <c r="AA6" s="3" t="str">
        <f t="shared" si="3"/>
        <v/>
      </c>
      <c r="AB6" s="3" t="str">
        <f t="shared" si="3"/>
        <v/>
      </c>
      <c r="AC6" s="3" t="str">
        <f t="shared" si="3"/>
        <v/>
      </c>
      <c r="AD6" s="3" t="str">
        <f t="shared" si="3"/>
        <v/>
      </c>
      <c r="AE6" s="3" t="str">
        <f t="shared" si="3"/>
        <v/>
      </c>
      <c r="AF6" s="3" t="str">
        <f t="shared" si="3"/>
        <v/>
      </c>
      <c r="AG6" s="3" t="str">
        <f t="shared" si="3"/>
        <v/>
      </c>
      <c r="AH6" s="3" t="str">
        <f t="shared" si="3"/>
        <v/>
      </c>
      <c r="AI6" s="3">
        <f t="shared" si="3"/>
        <v>1</v>
      </c>
      <c r="AJ6" s="3">
        <f t="shared" si="3"/>
        <v>1</v>
      </c>
      <c r="AK6" s="3">
        <f t="shared" si="4"/>
        <v>1</v>
      </c>
      <c r="AL6" s="3">
        <f t="shared" si="4"/>
        <v>1</v>
      </c>
      <c r="AM6" s="3">
        <f t="shared" si="4"/>
        <v>1</v>
      </c>
      <c r="AN6" s="3">
        <f t="shared" si="4"/>
        <v>1</v>
      </c>
      <c r="AO6" s="3">
        <f t="shared" si="4"/>
        <v>1</v>
      </c>
      <c r="AP6" s="3">
        <f t="shared" si="4"/>
        <v>1</v>
      </c>
      <c r="AQ6" s="3" t="str">
        <f t="shared" si="4"/>
        <v/>
      </c>
      <c r="AR6" s="3" t="str">
        <f t="shared" si="4"/>
        <v/>
      </c>
      <c r="AS6" s="3" t="str">
        <f t="shared" si="4"/>
        <v/>
      </c>
      <c r="AT6" s="3" t="str">
        <f t="shared" si="4"/>
        <v/>
      </c>
      <c r="AU6" s="3" t="str">
        <f t="shared" si="5"/>
        <v/>
      </c>
      <c r="AV6" s="3" t="str">
        <f t="shared" si="5"/>
        <v/>
      </c>
      <c r="AW6" s="3" t="str">
        <f t="shared" si="5"/>
        <v/>
      </c>
      <c r="AX6" s="3" t="str">
        <f t="shared" si="5"/>
        <v/>
      </c>
      <c r="AY6" s="3" t="str">
        <f t="shared" si="5"/>
        <v/>
      </c>
      <c r="AZ6" s="3" t="str">
        <f t="shared" si="5"/>
        <v/>
      </c>
      <c r="BA6" s="3" t="str">
        <f t="shared" si="5"/>
        <v/>
      </c>
      <c r="BB6" s="3" t="str">
        <f t="shared" si="5"/>
        <v/>
      </c>
      <c r="BC6" s="3" t="str">
        <f t="shared" si="5"/>
        <v/>
      </c>
      <c r="BD6" s="3" t="str">
        <f t="shared" si="5"/>
        <v/>
      </c>
      <c r="BE6" s="3" t="str">
        <f t="shared" si="5"/>
        <v/>
      </c>
    </row>
    <row r="7" spans="1:57" ht="20.100000000000001" customHeight="1">
      <c r="A7" t="s">
        <v>17</v>
      </c>
      <c r="B7" t="s">
        <v>29</v>
      </c>
      <c r="C7">
        <f>'Gantt actividades'!D10</f>
        <v>36</v>
      </c>
      <c r="D7">
        <f>SUM('Gantt actividades'!E10:E12)</f>
        <v>10</v>
      </c>
      <c r="E7">
        <f t="shared" si="0"/>
        <v>46</v>
      </c>
      <c r="G7" s="3" t="str">
        <f t="shared" si="1"/>
        <v/>
      </c>
      <c r="H7" s="3" t="str">
        <f t="shared" si="1"/>
        <v/>
      </c>
      <c r="I7" s="3" t="str">
        <f t="shared" si="1"/>
        <v/>
      </c>
      <c r="J7" s="3" t="str">
        <f t="shared" si="1"/>
        <v/>
      </c>
      <c r="K7" s="3" t="str">
        <f t="shared" si="1"/>
        <v/>
      </c>
      <c r="L7" s="3" t="str">
        <f t="shared" si="1"/>
        <v/>
      </c>
      <c r="M7" s="3" t="str">
        <f t="shared" si="1"/>
        <v/>
      </c>
      <c r="N7" s="3" t="str">
        <f t="shared" si="1"/>
        <v/>
      </c>
      <c r="O7" s="3" t="str">
        <f t="shared" si="1"/>
        <v/>
      </c>
      <c r="P7" s="3" t="str">
        <f t="shared" si="1"/>
        <v/>
      </c>
      <c r="Q7" s="3" t="str">
        <f t="shared" si="2"/>
        <v/>
      </c>
      <c r="R7" s="3" t="str">
        <f t="shared" si="2"/>
        <v/>
      </c>
      <c r="S7" s="3" t="str">
        <f t="shared" si="2"/>
        <v/>
      </c>
      <c r="T7" s="3" t="str">
        <f t="shared" si="2"/>
        <v/>
      </c>
      <c r="U7" s="3" t="str">
        <f t="shared" si="2"/>
        <v/>
      </c>
      <c r="V7" s="3" t="str">
        <f t="shared" si="2"/>
        <v/>
      </c>
      <c r="W7" s="3" t="str">
        <f t="shared" si="2"/>
        <v/>
      </c>
      <c r="X7" s="3" t="str">
        <f t="shared" si="2"/>
        <v/>
      </c>
      <c r="Y7" s="3" t="str">
        <f t="shared" si="2"/>
        <v/>
      </c>
      <c r="Z7" s="3" t="str">
        <f t="shared" si="2"/>
        <v/>
      </c>
      <c r="AA7" s="3" t="str">
        <f t="shared" si="3"/>
        <v/>
      </c>
      <c r="AB7" s="3" t="str">
        <f t="shared" si="3"/>
        <v/>
      </c>
      <c r="AC7" s="3" t="str">
        <f t="shared" si="3"/>
        <v/>
      </c>
      <c r="AD7" s="3" t="str">
        <f t="shared" si="3"/>
        <v/>
      </c>
      <c r="AE7" s="3" t="str">
        <f t="shared" si="3"/>
        <v/>
      </c>
      <c r="AF7" s="3" t="str">
        <f t="shared" si="3"/>
        <v/>
      </c>
      <c r="AG7" s="3" t="str">
        <f t="shared" si="3"/>
        <v/>
      </c>
      <c r="AH7" s="3" t="str">
        <f t="shared" si="3"/>
        <v/>
      </c>
      <c r="AI7" s="3" t="str">
        <f t="shared" si="3"/>
        <v/>
      </c>
      <c r="AJ7" s="3" t="str">
        <f t="shared" si="3"/>
        <v/>
      </c>
      <c r="AK7" s="3" t="str">
        <f t="shared" si="4"/>
        <v/>
      </c>
      <c r="AL7" s="3" t="str">
        <f t="shared" si="4"/>
        <v/>
      </c>
      <c r="AM7" s="3" t="str">
        <f t="shared" si="4"/>
        <v/>
      </c>
      <c r="AN7" s="3" t="str">
        <f t="shared" si="4"/>
        <v/>
      </c>
      <c r="AO7" s="3" t="str">
        <f t="shared" si="4"/>
        <v/>
      </c>
      <c r="AP7" s="3" t="str">
        <f t="shared" si="4"/>
        <v/>
      </c>
      <c r="AQ7" s="3">
        <f t="shared" si="4"/>
        <v>1</v>
      </c>
      <c r="AR7" s="3">
        <f t="shared" si="4"/>
        <v>1</v>
      </c>
      <c r="AS7" s="3">
        <f t="shared" si="4"/>
        <v>1</v>
      </c>
      <c r="AT7" s="3">
        <f t="shared" si="4"/>
        <v>1</v>
      </c>
      <c r="AU7" s="3">
        <f t="shared" si="5"/>
        <v>1</v>
      </c>
      <c r="AV7" s="3">
        <f t="shared" si="5"/>
        <v>1</v>
      </c>
      <c r="AW7" s="3">
        <f t="shared" si="5"/>
        <v>1</v>
      </c>
      <c r="AX7" s="3">
        <f t="shared" si="5"/>
        <v>1</v>
      </c>
      <c r="AY7" s="3">
        <f t="shared" si="5"/>
        <v>1</v>
      </c>
      <c r="AZ7" s="3">
        <f t="shared" si="5"/>
        <v>1</v>
      </c>
      <c r="BA7" s="3" t="str">
        <f t="shared" si="5"/>
        <v/>
      </c>
      <c r="BB7" s="3" t="str">
        <f t="shared" si="5"/>
        <v/>
      </c>
      <c r="BC7" s="3" t="str">
        <f t="shared" si="5"/>
        <v/>
      </c>
      <c r="BD7" s="3" t="str">
        <f t="shared" si="5"/>
        <v/>
      </c>
      <c r="BE7" s="3" t="str">
        <f t="shared" si="5"/>
        <v/>
      </c>
    </row>
    <row r="8" spans="1:57" ht="20.100000000000001" customHeight="1">
      <c r="A8" t="s">
        <v>30</v>
      </c>
      <c r="B8" t="s">
        <v>27</v>
      </c>
      <c r="C8">
        <f>'Gantt actividades'!D8</f>
        <v>18</v>
      </c>
      <c r="D8">
        <f>'Gantt actividades'!E8</f>
        <v>10</v>
      </c>
      <c r="E8">
        <f t="shared" si="0"/>
        <v>28</v>
      </c>
      <c r="G8" s="3" t="str">
        <f t="shared" si="1"/>
        <v/>
      </c>
      <c r="H8" s="3" t="str">
        <f t="shared" si="1"/>
        <v/>
      </c>
      <c r="I8" s="3" t="str">
        <f t="shared" si="1"/>
        <v/>
      </c>
      <c r="J8" s="3" t="str">
        <f t="shared" si="1"/>
        <v/>
      </c>
      <c r="K8" s="3" t="str">
        <f t="shared" si="1"/>
        <v/>
      </c>
      <c r="L8" s="3" t="str">
        <f t="shared" si="1"/>
        <v/>
      </c>
      <c r="M8" s="3" t="str">
        <f t="shared" si="1"/>
        <v/>
      </c>
      <c r="N8" s="3" t="str">
        <f t="shared" si="1"/>
        <v/>
      </c>
      <c r="O8" s="3" t="str">
        <f t="shared" si="1"/>
        <v/>
      </c>
      <c r="P8" s="3" t="str">
        <f t="shared" si="1"/>
        <v/>
      </c>
      <c r="Q8" s="3" t="str">
        <f t="shared" si="2"/>
        <v/>
      </c>
      <c r="R8" s="3" t="str">
        <f t="shared" si="2"/>
        <v/>
      </c>
      <c r="S8" s="3" t="str">
        <f t="shared" si="2"/>
        <v/>
      </c>
      <c r="T8" s="3" t="str">
        <f t="shared" si="2"/>
        <v/>
      </c>
      <c r="U8" s="3" t="str">
        <f t="shared" si="2"/>
        <v/>
      </c>
      <c r="V8" s="3" t="str">
        <f t="shared" si="2"/>
        <v/>
      </c>
      <c r="W8" s="3" t="str">
        <f t="shared" si="2"/>
        <v/>
      </c>
      <c r="X8" s="3" t="str">
        <f t="shared" si="2"/>
        <v/>
      </c>
      <c r="Y8" s="3">
        <f t="shared" si="2"/>
        <v>1</v>
      </c>
      <c r="Z8" s="3">
        <f t="shared" si="2"/>
        <v>1</v>
      </c>
      <c r="AA8" s="3">
        <f t="shared" si="3"/>
        <v>1</v>
      </c>
      <c r="AB8" s="3">
        <f t="shared" si="3"/>
        <v>1</v>
      </c>
      <c r="AC8" s="3">
        <f t="shared" si="3"/>
        <v>1</v>
      </c>
      <c r="AD8" s="3">
        <f t="shared" si="3"/>
        <v>1</v>
      </c>
      <c r="AE8" s="3">
        <f t="shared" si="3"/>
        <v>1</v>
      </c>
      <c r="AF8" s="3">
        <f t="shared" si="3"/>
        <v>1</v>
      </c>
      <c r="AG8" s="3">
        <f t="shared" si="3"/>
        <v>1</v>
      </c>
      <c r="AH8" s="3">
        <f t="shared" si="3"/>
        <v>1</v>
      </c>
      <c r="AI8" s="3" t="str">
        <f t="shared" si="3"/>
        <v/>
      </c>
      <c r="AJ8" s="3" t="str">
        <f t="shared" si="3"/>
        <v/>
      </c>
      <c r="AK8" s="3" t="str">
        <f t="shared" si="4"/>
        <v/>
      </c>
      <c r="AL8" s="3" t="str">
        <f t="shared" si="4"/>
        <v/>
      </c>
      <c r="AM8" s="3" t="str">
        <f t="shared" si="4"/>
        <v/>
      </c>
      <c r="AN8" s="3" t="str">
        <f t="shared" si="4"/>
        <v/>
      </c>
      <c r="AO8" s="3" t="str">
        <f t="shared" si="4"/>
        <v/>
      </c>
      <c r="AP8" s="3" t="str">
        <f t="shared" si="4"/>
        <v/>
      </c>
      <c r="AQ8" s="3" t="str">
        <f t="shared" si="4"/>
        <v/>
      </c>
      <c r="AR8" s="3" t="str">
        <f t="shared" si="4"/>
        <v/>
      </c>
      <c r="AS8" s="3" t="str">
        <f t="shared" si="4"/>
        <v/>
      </c>
      <c r="AT8" s="3" t="str">
        <f t="shared" si="4"/>
        <v/>
      </c>
      <c r="AU8" s="3" t="str">
        <f t="shared" si="5"/>
        <v/>
      </c>
      <c r="AV8" s="3" t="str">
        <f t="shared" si="5"/>
        <v/>
      </c>
      <c r="AW8" s="3" t="str">
        <f t="shared" si="5"/>
        <v/>
      </c>
      <c r="AX8" s="3" t="str">
        <f t="shared" si="5"/>
        <v/>
      </c>
      <c r="AY8" s="3" t="str">
        <f t="shared" si="5"/>
        <v/>
      </c>
      <c r="AZ8" s="3" t="str">
        <f t="shared" si="5"/>
        <v/>
      </c>
      <c r="BA8" s="3" t="str">
        <f t="shared" si="5"/>
        <v/>
      </c>
      <c r="BB8" s="3" t="str">
        <f t="shared" si="5"/>
        <v/>
      </c>
      <c r="BC8" s="3" t="str">
        <f t="shared" si="5"/>
        <v/>
      </c>
      <c r="BD8" s="3" t="str">
        <f t="shared" si="5"/>
        <v/>
      </c>
      <c r="BE8" s="3" t="str">
        <f t="shared" si="5"/>
        <v/>
      </c>
    </row>
    <row r="9" spans="1:57" ht="20.100000000000001" customHeight="1">
      <c r="A9" t="s">
        <v>31</v>
      </c>
      <c r="B9" t="s">
        <v>28</v>
      </c>
      <c r="C9">
        <f>'Gantt actividades'!D9</f>
        <v>28</v>
      </c>
      <c r="D9">
        <f>'Gantt actividades'!E9</f>
        <v>8</v>
      </c>
      <c r="E9">
        <f t="shared" si="0"/>
        <v>36</v>
      </c>
      <c r="G9" s="3" t="str">
        <f t="shared" si="1"/>
        <v/>
      </c>
      <c r="H9" s="3" t="str">
        <f t="shared" si="1"/>
        <v/>
      </c>
      <c r="I9" s="3" t="str">
        <f t="shared" si="1"/>
        <v/>
      </c>
      <c r="J9" s="3" t="str">
        <f t="shared" si="1"/>
        <v/>
      </c>
      <c r="K9" s="3" t="str">
        <f t="shared" si="1"/>
        <v/>
      </c>
      <c r="L9" s="3" t="str">
        <f t="shared" si="1"/>
        <v/>
      </c>
      <c r="M9" s="3" t="str">
        <f t="shared" si="1"/>
        <v/>
      </c>
      <c r="N9" s="3" t="str">
        <f t="shared" si="1"/>
        <v/>
      </c>
      <c r="O9" s="3" t="str">
        <f t="shared" si="1"/>
        <v/>
      </c>
      <c r="P9" s="3" t="str">
        <f t="shared" si="1"/>
        <v/>
      </c>
      <c r="Q9" s="3" t="str">
        <f t="shared" si="2"/>
        <v/>
      </c>
      <c r="R9" s="3" t="str">
        <f t="shared" si="2"/>
        <v/>
      </c>
      <c r="S9" s="3" t="str">
        <f t="shared" si="2"/>
        <v/>
      </c>
      <c r="T9" s="3" t="str">
        <f t="shared" si="2"/>
        <v/>
      </c>
      <c r="U9" s="3" t="str">
        <f t="shared" si="2"/>
        <v/>
      </c>
      <c r="V9" s="3" t="str">
        <f t="shared" si="2"/>
        <v/>
      </c>
      <c r="W9" s="3" t="str">
        <f t="shared" si="2"/>
        <v/>
      </c>
      <c r="X9" s="3" t="str">
        <f t="shared" si="2"/>
        <v/>
      </c>
      <c r="Y9" s="3" t="str">
        <f t="shared" si="2"/>
        <v/>
      </c>
      <c r="Z9" s="3" t="str">
        <f t="shared" si="2"/>
        <v/>
      </c>
      <c r="AA9" s="3" t="str">
        <f t="shared" si="3"/>
        <v/>
      </c>
      <c r="AB9" s="3" t="str">
        <f t="shared" si="3"/>
        <v/>
      </c>
      <c r="AC9" s="3" t="str">
        <f t="shared" si="3"/>
        <v/>
      </c>
      <c r="AD9" s="3" t="str">
        <f t="shared" si="3"/>
        <v/>
      </c>
      <c r="AE9" s="3" t="str">
        <f t="shared" si="3"/>
        <v/>
      </c>
      <c r="AF9" s="3" t="str">
        <f t="shared" si="3"/>
        <v/>
      </c>
      <c r="AG9" s="3" t="str">
        <f t="shared" si="3"/>
        <v/>
      </c>
      <c r="AH9" s="3" t="str">
        <f t="shared" si="3"/>
        <v/>
      </c>
      <c r="AI9" s="3">
        <f t="shared" si="3"/>
        <v>1</v>
      </c>
      <c r="AJ9" s="3">
        <f t="shared" si="3"/>
        <v>1</v>
      </c>
      <c r="AK9" s="3">
        <f t="shared" si="4"/>
        <v>1</v>
      </c>
      <c r="AL9" s="3">
        <f t="shared" si="4"/>
        <v>1</v>
      </c>
      <c r="AM9" s="3">
        <f t="shared" si="4"/>
        <v>1</v>
      </c>
      <c r="AN9" s="3">
        <f t="shared" si="4"/>
        <v>1</v>
      </c>
      <c r="AO9" s="3">
        <f t="shared" si="4"/>
        <v>1</v>
      </c>
      <c r="AP9" s="3">
        <f t="shared" si="4"/>
        <v>1</v>
      </c>
      <c r="AQ9" s="3" t="str">
        <f t="shared" si="4"/>
        <v/>
      </c>
      <c r="AR9" s="3" t="str">
        <f t="shared" si="4"/>
        <v/>
      </c>
      <c r="AS9" s="3" t="str">
        <f t="shared" si="4"/>
        <v/>
      </c>
      <c r="AT9" s="3" t="str">
        <f t="shared" si="4"/>
        <v/>
      </c>
      <c r="AU9" s="3" t="str">
        <f t="shared" si="5"/>
        <v/>
      </c>
      <c r="AV9" s="3" t="str">
        <f t="shared" si="5"/>
        <v/>
      </c>
      <c r="AW9" s="3" t="str">
        <f t="shared" si="5"/>
        <v/>
      </c>
      <c r="AX9" s="3" t="str">
        <f t="shared" si="5"/>
        <v/>
      </c>
      <c r="AY9" s="3" t="str">
        <f t="shared" si="5"/>
        <v/>
      </c>
      <c r="AZ9" s="3" t="str">
        <f t="shared" si="5"/>
        <v/>
      </c>
      <c r="BA9" s="3" t="str">
        <f t="shared" si="5"/>
        <v/>
      </c>
      <c r="BB9" s="3" t="str">
        <f t="shared" si="5"/>
        <v/>
      </c>
      <c r="BC9" s="3" t="str">
        <f t="shared" si="5"/>
        <v/>
      </c>
      <c r="BD9" s="3" t="str">
        <f t="shared" si="5"/>
        <v/>
      </c>
      <c r="BE9" s="3" t="str">
        <f t="shared" si="5"/>
        <v/>
      </c>
    </row>
    <row r="10" spans="1:57" ht="20.100000000000001" customHeight="1">
      <c r="A10" t="s">
        <v>32</v>
      </c>
      <c r="B10" t="s">
        <v>33</v>
      </c>
      <c r="C10">
        <f>'Gantt actividades'!D6</f>
        <v>9</v>
      </c>
      <c r="D10">
        <f>'Gantt actividades'!E6</f>
        <v>6</v>
      </c>
      <c r="E10">
        <f t="shared" si="0"/>
        <v>15</v>
      </c>
      <c r="G10" s="3" t="str">
        <f t="shared" si="1"/>
        <v/>
      </c>
      <c r="H10" s="3" t="str">
        <f t="shared" si="1"/>
        <v/>
      </c>
      <c r="I10" s="3" t="str">
        <f t="shared" si="1"/>
        <v/>
      </c>
      <c r="J10" s="3" t="str">
        <f t="shared" si="1"/>
        <v/>
      </c>
      <c r="K10" s="3" t="str">
        <f t="shared" si="1"/>
        <v/>
      </c>
      <c r="L10" s="3" t="str">
        <f t="shared" si="1"/>
        <v/>
      </c>
      <c r="M10" s="3" t="str">
        <f t="shared" si="1"/>
        <v/>
      </c>
      <c r="N10" s="3" t="str">
        <f t="shared" si="1"/>
        <v/>
      </c>
      <c r="O10" s="3" t="str">
        <f t="shared" si="1"/>
        <v/>
      </c>
      <c r="P10" s="3">
        <f t="shared" si="1"/>
        <v>1</v>
      </c>
      <c r="Q10" s="3">
        <f t="shared" si="2"/>
        <v>1</v>
      </c>
      <c r="R10" s="3">
        <f t="shared" si="2"/>
        <v>1</v>
      </c>
      <c r="S10" s="3">
        <f t="shared" si="2"/>
        <v>1</v>
      </c>
      <c r="T10" s="3">
        <f t="shared" si="2"/>
        <v>1</v>
      </c>
      <c r="U10" s="3">
        <f t="shared" si="2"/>
        <v>1</v>
      </c>
      <c r="V10" s="3" t="str">
        <f t="shared" si="2"/>
        <v/>
      </c>
      <c r="W10" s="3" t="str">
        <f t="shared" si="2"/>
        <v/>
      </c>
      <c r="X10" s="3" t="str">
        <f t="shared" si="2"/>
        <v/>
      </c>
      <c r="Y10" s="3" t="str">
        <f t="shared" si="2"/>
        <v/>
      </c>
      <c r="Z10" s="3" t="str">
        <f t="shared" si="2"/>
        <v/>
      </c>
      <c r="AA10" s="3" t="str">
        <f t="shared" si="3"/>
        <v/>
      </c>
      <c r="AB10" s="3" t="str">
        <f t="shared" si="3"/>
        <v/>
      </c>
      <c r="AC10" s="3" t="str">
        <f t="shared" si="3"/>
        <v/>
      </c>
      <c r="AD10" s="3" t="str">
        <f t="shared" si="3"/>
        <v/>
      </c>
      <c r="AE10" s="3" t="str">
        <f t="shared" si="3"/>
        <v/>
      </c>
      <c r="AF10" s="3" t="str">
        <f t="shared" si="3"/>
        <v/>
      </c>
      <c r="AG10" s="3" t="str">
        <f t="shared" si="3"/>
        <v/>
      </c>
      <c r="AH10" s="3" t="str">
        <f t="shared" si="3"/>
        <v/>
      </c>
      <c r="AI10" s="3" t="str">
        <f t="shared" si="3"/>
        <v/>
      </c>
      <c r="AJ10" s="3" t="str">
        <f t="shared" si="3"/>
        <v/>
      </c>
      <c r="AK10" s="3" t="str">
        <f t="shared" si="4"/>
        <v/>
      </c>
      <c r="AL10" s="3" t="str">
        <f t="shared" si="4"/>
        <v/>
      </c>
      <c r="AM10" s="3" t="str">
        <f t="shared" si="4"/>
        <v/>
      </c>
      <c r="AN10" s="3" t="str">
        <f t="shared" si="4"/>
        <v/>
      </c>
      <c r="AO10" s="3" t="str">
        <f t="shared" si="4"/>
        <v/>
      </c>
      <c r="AP10" s="3" t="str">
        <f t="shared" si="4"/>
        <v/>
      </c>
      <c r="AQ10" s="3" t="str">
        <f t="shared" si="4"/>
        <v/>
      </c>
      <c r="AR10" s="3" t="str">
        <f t="shared" si="4"/>
        <v/>
      </c>
      <c r="AS10" s="3" t="str">
        <f t="shared" si="4"/>
        <v/>
      </c>
      <c r="AT10" s="3" t="str">
        <f t="shared" si="4"/>
        <v/>
      </c>
      <c r="AU10" s="3" t="str">
        <f t="shared" si="5"/>
        <v/>
      </c>
      <c r="AV10" s="3" t="str">
        <f t="shared" si="5"/>
        <v/>
      </c>
      <c r="AW10" s="3" t="str">
        <f t="shared" si="5"/>
        <v/>
      </c>
      <c r="AX10" s="3" t="str">
        <f t="shared" si="5"/>
        <v/>
      </c>
      <c r="AY10" s="3" t="str">
        <f t="shared" si="5"/>
        <v/>
      </c>
      <c r="AZ10" s="3" t="str">
        <f t="shared" si="5"/>
        <v/>
      </c>
      <c r="BA10" s="3" t="str">
        <f t="shared" si="5"/>
        <v/>
      </c>
      <c r="BB10" s="3" t="str">
        <f t="shared" si="5"/>
        <v/>
      </c>
      <c r="BC10" s="3" t="str">
        <f t="shared" si="5"/>
        <v/>
      </c>
      <c r="BD10" s="3" t="str">
        <f t="shared" si="5"/>
        <v/>
      </c>
      <c r="BE10" s="3" t="str">
        <f t="shared" si="5"/>
        <v/>
      </c>
    </row>
    <row r="11" spans="1:57" ht="20.100000000000001" customHeight="1">
      <c r="A11" t="s">
        <v>34</v>
      </c>
      <c r="B11" t="s">
        <v>35</v>
      </c>
      <c r="C11">
        <f>'Gantt actividades'!D7</f>
        <v>15</v>
      </c>
      <c r="D11">
        <f>'Gantt actividades'!E7</f>
        <v>3</v>
      </c>
      <c r="E11">
        <f t="shared" si="0"/>
        <v>18</v>
      </c>
      <c r="G11" s="3" t="str">
        <f t="shared" si="1"/>
        <v/>
      </c>
      <c r="H11" s="3" t="str">
        <f t="shared" si="1"/>
        <v/>
      </c>
      <c r="I11" s="3" t="str">
        <f t="shared" si="1"/>
        <v/>
      </c>
      <c r="J11" s="3" t="str">
        <f t="shared" si="1"/>
        <v/>
      </c>
      <c r="K11" s="3" t="str">
        <f t="shared" si="1"/>
        <v/>
      </c>
      <c r="L11" s="3" t="str">
        <f t="shared" si="1"/>
        <v/>
      </c>
      <c r="M11" s="3" t="str">
        <f t="shared" si="1"/>
        <v/>
      </c>
      <c r="N11" s="3" t="str">
        <f t="shared" si="1"/>
        <v/>
      </c>
      <c r="O11" s="3" t="str">
        <f t="shared" si="1"/>
        <v/>
      </c>
      <c r="P11" s="3" t="str">
        <f t="shared" si="1"/>
        <v/>
      </c>
      <c r="Q11" s="3" t="str">
        <f t="shared" si="2"/>
        <v/>
      </c>
      <c r="R11" s="3" t="str">
        <f t="shared" si="2"/>
        <v/>
      </c>
      <c r="S11" s="3" t="str">
        <f t="shared" si="2"/>
        <v/>
      </c>
      <c r="T11" s="3" t="str">
        <f t="shared" si="2"/>
        <v/>
      </c>
      <c r="U11" s="3" t="str">
        <f t="shared" si="2"/>
        <v/>
      </c>
      <c r="V11" s="3">
        <f t="shared" si="2"/>
        <v>1</v>
      </c>
      <c r="W11" s="3">
        <f t="shared" si="2"/>
        <v>1</v>
      </c>
      <c r="X11" s="3">
        <f t="shared" si="2"/>
        <v>1</v>
      </c>
      <c r="Y11" s="3" t="str">
        <f t="shared" si="2"/>
        <v/>
      </c>
      <c r="Z11" s="3" t="str">
        <f t="shared" si="2"/>
        <v/>
      </c>
      <c r="AA11" s="3" t="str">
        <f t="shared" si="3"/>
        <v/>
      </c>
      <c r="AB11" s="3" t="str">
        <f t="shared" si="3"/>
        <v/>
      </c>
      <c r="AC11" s="3" t="str">
        <f t="shared" si="3"/>
        <v/>
      </c>
      <c r="AD11" s="3" t="str">
        <f t="shared" si="3"/>
        <v/>
      </c>
      <c r="AE11" s="3" t="str">
        <f t="shared" si="3"/>
        <v/>
      </c>
      <c r="AF11" s="3" t="str">
        <f t="shared" si="3"/>
        <v/>
      </c>
      <c r="AG11" s="3" t="str">
        <f t="shared" si="3"/>
        <v/>
      </c>
      <c r="AH11" s="3" t="str">
        <f t="shared" si="3"/>
        <v/>
      </c>
      <c r="AI11" s="3" t="str">
        <f t="shared" si="3"/>
        <v/>
      </c>
      <c r="AJ11" s="3" t="str">
        <f t="shared" si="3"/>
        <v/>
      </c>
      <c r="AK11" s="3" t="str">
        <f t="shared" si="4"/>
        <v/>
      </c>
      <c r="AL11" s="3" t="str">
        <f t="shared" si="4"/>
        <v/>
      </c>
      <c r="AM11" s="3" t="str">
        <f t="shared" si="4"/>
        <v/>
      </c>
      <c r="AN11" s="3" t="str">
        <f t="shared" si="4"/>
        <v/>
      </c>
      <c r="AO11" s="3" t="str">
        <f t="shared" si="4"/>
        <v/>
      </c>
      <c r="AP11" s="3" t="str">
        <f t="shared" si="4"/>
        <v/>
      </c>
      <c r="AQ11" s="3" t="str">
        <f t="shared" si="4"/>
        <v/>
      </c>
      <c r="AR11" s="3" t="str">
        <f t="shared" si="4"/>
        <v/>
      </c>
      <c r="AS11" s="3" t="str">
        <f t="shared" si="4"/>
        <v/>
      </c>
      <c r="AT11" s="3" t="str">
        <f t="shared" si="4"/>
        <v/>
      </c>
      <c r="AU11" s="3" t="str">
        <f t="shared" si="5"/>
        <v/>
      </c>
      <c r="AV11" s="3" t="str">
        <f t="shared" si="5"/>
        <v/>
      </c>
      <c r="AW11" s="3" t="str">
        <f t="shared" si="5"/>
        <v/>
      </c>
      <c r="AX11" s="3" t="str">
        <f t="shared" si="5"/>
        <v/>
      </c>
      <c r="AY11" s="3" t="str">
        <f t="shared" si="5"/>
        <v/>
      </c>
      <c r="AZ11" s="3" t="str">
        <f t="shared" si="5"/>
        <v/>
      </c>
      <c r="BA11" s="3" t="str">
        <f t="shared" si="5"/>
        <v/>
      </c>
      <c r="BB11" s="3" t="str">
        <f t="shared" si="5"/>
        <v/>
      </c>
      <c r="BC11" s="3" t="str">
        <f t="shared" si="5"/>
        <v/>
      </c>
      <c r="BD11" s="3" t="str">
        <f t="shared" si="5"/>
        <v/>
      </c>
      <c r="BE11" s="3" t="str">
        <f t="shared" si="5"/>
        <v/>
      </c>
    </row>
    <row r="12" spans="1:57" ht="20.100000000000001" customHeight="1">
      <c r="A12" t="s">
        <v>36</v>
      </c>
      <c r="B12" t="s">
        <v>37</v>
      </c>
      <c r="C12">
        <f>'Gantt actividades'!D10</f>
        <v>36</v>
      </c>
      <c r="D12">
        <f>'Gantt actividades'!E10</f>
        <v>5</v>
      </c>
      <c r="E12">
        <f t="shared" si="0"/>
        <v>41</v>
      </c>
      <c r="G12" s="3" t="str">
        <f t="shared" si="1"/>
        <v/>
      </c>
      <c r="H12" s="3" t="str">
        <f t="shared" si="1"/>
        <v/>
      </c>
      <c r="I12" s="3" t="str">
        <f t="shared" si="1"/>
        <v/>
      </c>
      <c r="J12" s="3" t="str">
        <f t="shared" si="1"/>
        <v/>
      </c>
      <c r="K12" s="3" t="str">
        <f t="shared" si="1"/>
        <v/>
      </c>
      <c r="L12" s="3" t="str">
        <f t="shared" si="1"/>
        <v/>
      </c>
      <c r="M12" s="3" t="str">
        <f t="shared" si="1"/>
        <v/>
      </c>
      <c r="N12" s="3" t="str">
        <f t="shared" si="1"/>
        <v/>
      </c>
      <c r="O12" s="3" t="str">
        <f t="shared" si="1"/>
        <v/>
      </c>
      <c r="P12" s="3" t="str">
        <f t="shared" si="1"/>
        <v/>
      </c>
      <c r="Q12" s="3" t="str">
        <f t="shared" si="2"/>
        <v/>
      </c>
      <c r="R12" s="3" t="str">
        <f t="shared" si="2"/>
        <v/>
      </c>
      <c r="S12" s="3" t="str">
        <f t="shared" si="2"/>
        <v/>
      </c>
      <c r="T12" s="3" t="str">
        <f t="shared" si="2"/>
        <v/>
      </c>
      <c r="U12" s="3" t="str">
        <f t="shared" si="2"/>
        <v/>
      </c>
      <c r="V12" s="3" t="str">
        <f t="shared" si="2"/>
        <v/>
      </c>
      <c r="W12" s="3" t="str">
        <f t="shared" si="2"/>
        <v/>
      </c>
      <c r="X12" s="3" t="str">
        <f t="shared" si="2"/>
        <v/>
      </c>
      <c r="Y12" s="3" t="str">
        <f t="shared" si="2"/>
        <v/>
      </c>
      <c r="Z12" s="3" t="str">
        <f t="shared" si="2"/>
        <v/>
      </c>
      <c r="AA12" s="3" t="str">
        <f t="shared" si="3"/>
        <v/>
      </c>
      <c r="AB12" s="3" t="str">
        <f t="shared" si="3"/>
        <v/>
      </c>
      <c r="AC12" s="3" t="str">
        <f t="shared" si="3"/>
        <v/>
      </c>
      <c r="AD12" s="3" t="str">
        <f t="shared" si="3"/>
        <v/>
      </c>
      <c r="AE12" s="3" t="str">
        <f t="shared" si="3"/>
        <v/>
      </c>
      <c r="AF12" s="3" t="str">
        <f t="shared" si="3"/>
        <v/>
      </c>
      <c r="AG12" s="3" t="str">
        <f t="shared" si="3"/>
        <v/>
      </c>
      <c r="AH12" s="3" t="str">
        <f t="shared" si="3"/>
        <v/>
      </c>
      <c r="AI12" s="3" t="str">
        <f t="shared" si="3"/>
        <v/>
      </c>
      <c r="AJ12" s="3" t="str">
        <f t="shared" si="3"/>
        <v/>
      </c>
      <c r="AK12" s="3" t="str">
        <f t="shared" si="4"/>
        <v/>
      </c>
      <c r="AL12" s="3" t="str">
        <f t="shared" si="4"/>
        <v/>
      </c>
      <c r="AM12" s="3" t="str">
        <f t="shared" si="4"/>
        <v/>
      </c>
      <c r="AN12" s="3" t="str">
        <f t="shared" si="4"/>
        <v/>
      </c>
      <c r="AO12" s="3" t="str">
        <f t="shared" si="4"/>
        <v/>
      </c>
      <c r="AP12" s="3" t="str">
        <f t="shared" si="4"/>
        <v/>
      </c>
      <c r="AQ12" s="3">
        <f t="shared" si="4"/>
        <v>1</v>
      </c>
      <c r="AR12" s="3">
        <f t="shared" si="4"/>
        <v>1</v>
      </c>
      <c r="AS12" s="3">
        <f t="shared" si="4"/>
        <v>1</v>
      </c>
      <c r="AT12" s="3">
        <f t="shared" si="4"/>
        <v>1</v>
      </c>
      <c r="AU12" s="3">
        <f t="shared" si="5"/>
        <v>1</v>
      </c>
      <c r="AV12" s="3" t="str">
        <f t="shared" si="5"/>
        <v/>
      </c>
      <c r="AW12" s="3" t="str">
        <f t="shared" si="5"/>
        <v/>
      </c>
      <c r="AX12" s="3" t="str">
        <f t="shared" si="5"/>
        <v/>
      </c>
      <c r="AY12" s="3" t="str">
        <f t="shared" si="5"/>
        <v/>
      </c>
      <c r="AZ12" s="3" t="str">
        <f t="shared" si="5"/>
        <v/>
      </c>
      <c r="BA12" s="3" t="str">
        <f t="shared" si="5"/>
        <v/>
      </c>
      <c r="BB12" s="3" t="str">
        <f t="shared" si="5"/>
        <v/>
      </c>
      <c r="BC12" s="3" t="str">
        <f t="shared" si="5"/>
        <v/>
      </c>
      <c r="BD12" s="3" t="str">
        <f t="shared" si="5"/>
        <v/>
      </c>
      <c r="BE12" s="3" t="str">
        <f t="shared" si="5"/>
        <v/>
      </c>
    </row>
    <row r="13" spans="1:57" ht="20.100000000000001" customHeight="1">
      <c r="A13" t="s">
        <v>38</v>
      </c>
      <c r="B13" t="s">
        <v>39</v>
      </c>
      <c r="C13">
        <f>'Gantt actividades'!D5</f>
        <v>4</v>
      </c>
      <c r="D13">
        <f>'Gantt actividades'!E5</f>
        <v>5</v>
      </c>
      <c r="E13">
        <f t="shared" si="0"/>
        <v>9</v>
      </c>
      <c r="G13" s="3" t="str">
        <f t="shared" si="1"/>
        <v/>
      </c>
      <c r="H13" s="3" t="str">
        <f t="shared" si="1"/>
        <v/>
      </c>
      <c r="I13" s="3" t="str">
        <f t="shared" si="1"/>
        <v/>
      </c>
      <c r="J13" s="3" t="str">
        <f t="shared" si="1"/>
        <v/>
      </c>
      <c r="K13" s="3">
        <f t="shared" si="1"/>
        <v>1</v>
      </c>
      <c r="L13" s="3">
        <f t="shared" si="1"/>
        <v>1</v>
      </c>
      <c r="M13" s="3">
        <f t="shared" si="1"/>
        <v>1</v>
      </c>
      <c r="N13" s="3">
        <f t="shared" si="1"/>
        <v>1</v>
      </c>
      <c r="O13" s="3">
        <f t="shared" si="1"/>
        <v>1</v>
      </c>
      <c r="P13" s="3" t="str">
        <f t="shared" si="1"/>
        <v/>
      </c>
      <c r="Q13" s="3" t="str">
        <f t="shared" si="2"/>
        <v/>
      </c>
      <c r="R13" s="3" t="str">
        <f t="shared" si="2"/>
        <v/>
      </c>
      <c r="S13" s="3" t="str">
        <f t="shared" si="2"/>
        <v/>
      </c>
      <c r="T13" s="3" t="str">
        <f t="shared" si="2"/>
        <v/>
      </c>
      <c r="U13" s="3" t="str">
        <f t="shared" si="2"/>
        <v/>
      </c>
      <c r="V13" s="3" t="str">
        <f t="shared" si="2"/>
        <v/>
      </c>
      <c r="W13" s="3" t="str">
        <f t="shared" si="2"/>
        <v/>
      </c>
      <c r="X13" s="3" t="str">
        <f t="shared" si="2"/>
        <v/>
      </c>
      <c r="Y13" s="3" t="str">
        <f t="shared" si="2"/>
        <v/>
      </c>
      <c r="Z13" s="3" t="str">
        <f t="shared" si="2"/>
        <v/>
      </c>
      <c r="AA13" s="3" t="str">
        <f t="shared" si="3"/>
        <v/>
      </c>
      <c r="AB13" s="3" t="str">
        <f t="shared" si="3"/>
        <v/>
      </c>
      <c r="AC13" s="3" t="str">
        <f t="shared" si="3"/>
        <v/>
      </c>
      <c r="AD13" s="3" t="str">
        <f t="shared" si="3"/>
        <v/>
      </c>
      <c r="AE13" s="3" t="str">
        <f t="shared" si="3"/>
        <v/>
      </c>
      <c r="AF13" s="3" t="str">
        <f t="shared" si="3"/>
        <v/>
      </c>
      <c r="AG13" s="3" t="str">
        <f t="shared" si="3"/>
        <v/>
      </c>
      <c r="AH13" s="3" t="str">
        <f t="shared" si="3"/>
        <v/>
      </c>
      <c r="AI13" s="3" t="str">
        <f t="shared" si="3"/>
        <v/>
      </c>
      <c r="AJ13" s="3" t="str">
        <f t="shared" si="3"/>
        <v/>
      </c>
      <c r="AK13" s="3" t="str">
        <f t="shared" si="4"/>
        <v/>
      </c>
      <c r="AL13" s="3" t="str">
        <f t="shared" si="4"/>
        <v/>
      </c>
      <c r="AM13" s="3" t="str">
        <f t="shared" si="4"/>
        <v/>
      </c>
      <c r="AN13" s="3" t="str">
        <f t="shared" si="4"/>
        <v/>
      </c>
      <c r="AO13" s="3" t="str">
        <f t="shared" si="4"/>
        <v/>
      </c>
      <c r="AP13" s="3" t="str">
        <f t="shared" si="4"/>
        <v/>
      </c>
      <c r="AQ13" s="3" t="str">
        <f t="shared" si="4"/>
        <v/>
      </c>
      <c r="AR13" s="3" t="str">
        <f t="shared" si="4"/>
        <v/>
      </c>
      <c r="AS13" s="3" t="str">
        <f t="shared" si="4"/>
        <v/>
      </c>
      <c r="AT13" s="3" t="str">
        <f t="shared" si="4"/>
        <v/>
      </c>
      <c r="AU13" s="3" t="str">
        <f t="shared" si="5"/>
        <v/>
      </c>
      <c r="AV13" s="3" t="str">
        <f t="shared" si="5"/>
        <v/>
      </c>
      <c r="AW13" s="3" t="str">
        <f t="shared" si="5"/>
        <v/>
      </c>
      <c r="AX13" s="3" t="str">
        <f t="shared" si="5"/>
        <v/>
      </c>
      <c r="AY13" s="3" t="str">
        <f t="shared" si="5"/>
        <v/>
      </c>
      <c r="AZ13" s="3" t="str">
        <f t="shared" si="5"/>
        <v/>
      </c>
      <c r="BA13" s="3" t="str">
        <f t="shared" si="5"/>
        <v/>
      </c>
      <c r="BB13" s="3" t="str">
        <f t="shared" si="5"/>
        <v/>
      </c>
      <c r="BC13" s="3" t="str">
        <f t="shared" si="5"/>
        <v/>
      </c>
      <c r="BD13" s="3" t="str">
        <f t="shared" si="5"/>
        <v/>
      </c>
      <c r="BE13" s="3" t="str">
        <f t="shared" si="5"/>
        <v/>
      </c>
    </row>
    <row r="14" spans="1:57" ht="20.100000000000001" customHeight="1"/>
    <row r="15" spans="1:57" ht="20.100000000000001" customHeight="1">
      <c r="A15" s="56" t="s">
        <v>40</v>
      </c>
      <c r="B15" s="55"/>
      <c r="C15" s="55"/>
      <c r="D15" s="55"/>
      <c r="E15" s="55"/>
    </row>
  </sheetData>
  <mergeCells count="2">
    <mergeCell ref="A15:E15"/>
    <mergeCell ref="A1:F1"/>
  </mergeCells>
  <conditionalFormatting sqref="G4:BE4">
    <cfRule type="expression" dxfId="9" priority="1">
      <formula>G4=1</formula>
    </cfRule>
  </conditionalFormatting>
  <conditionalFormatting sqref="G5:BE5">
    <cfRule type="expression" dxfId="8" priority="2">
      <formula>G5=1</formula>
    </cfRule>
  </conditionalFormatting>
  <conditionalFormatting sqref="G6:BE6">
    <cfRule type="expression" dxfId="7" priority="3">
      <formula>G6=1</formula>
    </cfRule>
  </conditionalFormatting>
  <conditionalFormatting sqref="G7:BE7">
    <cfRule type="expression" dxfId="6" priority="4">
      <formula>G7=1</formula>
    </cfRule>
  </conditionalFormatting>
  <conditionalFormatting sqref="G8:BE8">
    <cfRule type="expression" dxfId="5" priority="5">
      <formula>G8=1</formula>
    </cfRule>
  </conditionalFormatting>
  <conditionalFormatting sqref="G9:BE9">
    <cfRule type="expression" dxfId="4" priority="6">
      <formula>G9=1</formula>
    </cfRule>
  </conditionalFormatting>
  <conditionalFormatting sqref="G10:BE10">
    <cfRule type="expression" dxfId="3" priority="7">
      <formula>G10=1</formula>
    </cfRule>
  </conditionalFormatting>
  <conditionalFormatting sqref="G11:BE11">
    <cfRule type="expression" dxfId="2" priority="8">
      <formula>G11=1</formula>
    </cfRule>
  </conditionalFormatting>
  <conditionalFormatting sqref="G12:BE12">
    <cfRule type="expression" dxfId="1" priority="9">
      <formula>G12=1</formula>
    </cfRule>
  </conditionalFormatting>
  <conditionalFormatting sqref="G13:BE13">
    <cfRule type="expression" dxfId="0" priority="10">
      <formula>G13=1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showGridLines="0" workbookViewId="0">
      <selection sqref="A1:D1"/>
    </sheetView>
  </sheetViews>
  <sheetFormatPr baseColWidth="10" defaultColWidth="9.140625" defaultRowHeight="15"/>
  <cols>
    <col min="1" max="1" width="22" customWidth="1"/>
    <col min="2" max="2" width="95" customWidth="1"/>
  </cols>
  <sheetData>
    <row r="1" spans="1:4" ht="18.75">
      <c r="A1" s="54" t="s">
        <v>43</v>
      </c>
      <c r="B1" s="55"/>
      <c r="C1" s="55"/>
      <c r="D1" s="55"/>
    </row>
    <row r="2" spans="1:4" ht="20.100000000000001" customHeight="1"/>
    <row r="3" spans="1:4" ht="20.100000000000001" customHeight="1">
      <c r="A3" s="5" t="s">
        <v>44</v>
      </c>
      <c r="B3" s="4" t="s">
        <v>45</v>
      </c>
    </row>
    <row r="4" spans="1:4" ht="20.100000000000001" customHeight="1">
      <c r="A4" s="5" t="s">
        <v>46</v>
      </c>
      <c r="B4" s="4" t="s">
        <v>47</v>
      </c>
    </row>
    <row r="5" spans="1:4" ht="20.100000000000001" customHeight="1">
      <c r="A5" s="5" t="s">
        <v>48</v>
      </c>
      <c r="B5" s="4" t="s">
        <v>49</v>
      </c>
    </row>
    <row r="6" spans="1:4" ht="20.100000000000001" customHeight="1">
      <c r="A6" s="5" t="s">
        <v>50</v>
      </c>
      <c r="B6" s="4">
        <f>SUM('Gantt actividades'!E4:E12)</f>
        <v>46</v>
      </c>
    </row>
    <row r="7" spans="1:4" ht="20.100000000000001" customHeight="1">
      <c r="A7" s="5" t="s">
        <v>51</v>
      </c>
      <c r="B7" s="4" t="s">
        <v>52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todos</vt:lpstr>
      <vt:lpstr>Paralelo</vt:lpstr>
      <vt:lpstr>Gantt actividades</vt:lpstr>
      <vt:lpstr>Gantt recursos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Users</cp:lastModifiedBy>
  <dcterms:created xsi:type="dcterms:W3CDTF">2026-04-22T01:01:49Z</dcterms:created>
  <dcterms:modified xsi:type="dcterms:W3CDTF">2026-05-13T16:35:30Z</dcterms:modified>
</cp:coreProperties>
</file>